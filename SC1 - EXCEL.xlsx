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y\Documents\"/>
    </mc:Choice>
  </mc:AlternateContent>
  <xr:revisionPtr revIDLastSave="0" documentId="8_{475E5D9D-62C0-4CFD-8114-4B9BDE1B9D81}" xr6:coauthVersionLast="47" xr6:coauthVersionMax="47" xr10:uidLastSave="{00000000-0000-0000-0000-000000000000}"/>
  <bookViews>
    <workbookView xWindow="-120" yWindow="-120" windowWidth="20730" windowHeight="11760" xr2:uid="{6CE79C34-62C3-4736-AF10-606B6AC493E8}"/>
  </bookViews>
  <sheets>
    <sheet name="Data Mentah" sheetId="1" r:id="rId1"/>
    <sheet name="Tabel Referensi" sheetId="3" r:id="rId2"/>
    <sheet name="Data Bersih" sheetId="2" r:id="rId3"/>
    <sheet name="Dashboard" sheetId="4" r:id="rId4"/>
  </sheets>
  <definedNames>
    <definedName name="harga_satuan">'Tabel Referensi'!$C$2:$C$6</definedName>
    <definedName name="kode_produk_DM">'Data Mentah'!$C$2:$C$101</definedName>
    <definedName name="tabel_clean">Table1[]</definedName>
    <definedName name="tabel_data_mentah">'Data Mentah'!$A$1:$F$101</definedName>
    <definedName name="tabel_referensi">'Tabel Referensi'!$A$1:$D$6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4" l="1"/>
  <c r="E19" i="4"/>
  <c r="C18" i="4"/>
  <c r="C19" i="4"/>
  <c r="E10" i="4"/>
  <c r="G11" i="4"/>
  <c r="G12" i="4"/>
  <c r="G13" i="4"/>
  <c r="G14" i="4"/>
  <c r="G10" i="4"/>
  <c r="E11" i="4"/>
  <c r="E12" i="4"/>
  <c r="E13" i="4"/>
  <c r="E14" i="4"/>
  <c r="G5" i="4"/>
  <c r="E5" i="4"/>
  <c r="C5" i="4"/>
  <c r="A5" i="4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C4" i="2"/>
  <c r="G4" i="2" s="1"/>
  <c r="C5" i="2"/>
  <c r="G5" i="2" s="1"/>
  <c r="C6" i="2"/>
  <c r="G6" i="2" s="1"/>
  <c r="C7" i="2"/>
  <c r="G7" i="2" s="1"/>
  <c r="C8" i="2"/>
  <c r="H8" i="2" s="1"/>
  <c r="C9" i="2"/>
  <c r="H9" i="2" s="1"/>
  <c r="C10" i="2"/>
  <c r="H10" i="2" s="1"/>
  <c r="C11" i="2"/>
  <c r="H11" i="2" s="1"/>
  <c r="C12" i="2"/>
  <c r="G12" i="2" s="1"/>
  <c r="C13" i="2"/>
  <c r="G13" i="2" s="1"/>
  <c r="C14" i="2"/>
  <c r="G14" i="2" s="1"/>
  <c r="C15" i="2"/>
  <c r="G15" i="2" s="1"/>
  <c r="C16" i="2"/>
  <c r="H16" i="2" s="1"/>
  <c r="C17" i="2"/>
  <c r="H17" i="2" s="1"/>
  <c r="C18" i="2"/>
  <c r="H18" i="2" s="1"/>
  <c r="C19" i="2"/>
  <c r="H19" i="2" s="1"/>
  <c r="C20" i="2"/>
  <c r="G20" i="2" s="1"/>
  <c r="C21" i="2"/>
  <c r="G21" i="2" s="1"/>
  <c r="C22" i="2"/>
  <c r="G22" i="2" s="1"/>
  <c r="C23" i="2"/>
  <c r="G23" i="2" s="1"/>
  <c r="C24" i="2"/>
  <c r="H24" i="2" s="1"/>
  <c r="C25" i="2"/>
  <c r="H25" i="2" s="1"/>
  <c r="C26" i="2"/>
  <c r="H26" i="2" s="1"/>
  <c r="C27" i="2"/>
  <c r="H27" i="2" s="1"/>
  <c r="C28" i="2"/>
  <c r="G28" i="2" s="1"/>
  <c r="C29" i="2"/>
  <c r="G29" i="2" s="1"/>
  <c r="C30" i="2"/>
  <c r="G30" i="2" s="1"/>
  <c r="C31" i="2"/>
  <c r="G31" i="2" s="1"/>
  <c r="C32" i="2"/>
  <c r="H32" i="2" s="1"/>
  <c r="C33" i="2"/>
  <c r="H33" i="2" s="1"/>
  <c r="C34" i="2"/>
  <c r="H34" i="2" s="1"/>
  <c r="C35" i="2"/>
  <c r="H35" i="2" s="1"/>
  <c r="C36" i="2"/>
  <c r="G36" i="2" s="1"/>
  <c r="C37" i="2"/>
  <c r="G37" i="2" s="1"/>
  <c r="C38" i="2"/>
  <c r="G38" i="2" s="1"/>
  <c r="C39" i="2"/>
  <c r="G39" i="2" s="1"/>
  <c r="C40" i="2"/>
  <c r="H40" i="2" s="1"/>
  <c r="C41" i="2"/>
  <c r="H41" i="2" s="1"/>
  <c r="C42" i="2"/>
  <c r="H42" i="2" s="1"/>
  <c r="C43" i="2"/>
  <c r="H43" i="2" s="1"/>
  <c r="C44" i="2"/>
  <c r="G44" i="2" s="1"/>
  <c r="C45" i="2"/>
  <c r="G45" i="2" s="1"/>
  <c r="C46" i="2"/>
  <c r="G46" i="2" s="1"/>
  <c r="C47" i="2"/>
  <c r="G47" i="2" s="1"/>
  <c r="C48" i="2"/>
  <c r="H48" i="2" s="1"/>
  <c r="C49" i="2"/>
  <c r="H49" i="2" s="1"/>
  <c r="C50" i="2"/>
  <c r="H50" i="2" s="1"/>
  <c r="C51" i="2"/>
  <c r="H51" i="2" s="1"/>
  <c r="C52" i="2"/>
  <c r="G52" i="2" s="1"/>
  <c r="C53" i="2"/>
  <c r="G53" i="2" s="1"/>
  <c r="C54" i="2"/>
  <c r="G54" i="2" s="1"/>
  <c r="C55" i="2"/>
  <c r="G55" i="2" s="1"/>
  <c r="C56" i="2"/>
  <c r="H56" i="2" s="1"/>
  <c r="C57" i="2"/>
  <c r="H57" i="2" s="1"/>
  <c r="C58" i="2"/>
  <c r="H58" i="2" s="1"/>
  <c r="C59" i="2"/>
  <c r="H59" i="2" s="1"/>
  <c r="C60" i="2"/>
  <c r="G60" i="2" s="1"/>
  <c r="C61" i="2"/>
  <c r="G61" i="2" s="1"/>
  <c r="C62" i="2"/>
  <c r="G62" i="2" s="1"/>
  <c r="C63" i="2"/>
  <c r="G63" i="2" s="1"/>
  <c r="C64" i="2"/>
  <c r="H64" i="2" s="1"/>
  <c r="C65" i="2"/>
  <c r="H65" i="2" s="1"/>
  <c r="C66" i="2"/>
  <c r="H66" i="2" s="1"/>
  <c r="C67" i="2"/>
  <c r="H67" i="2" s="1"/>
  <c r="C68" i="2"/>
  <c r="G68" i="2" s="1"/>
  <c r="C69" i="2"/>
  <c r="G69" i="2" s="1"/>
  <c r="C70" i="2"/>
  <c r="G70" i="2" s="1"/>
  <c r="C71" i="2"/>
  <c r="G71" i="2" s="1"/>
  <c r="C72" i="2"/>
  <c r="H72" i="2" s="1"/>
  <c r="C73" i="2"/>
  <c r="H73" i="2" s="1"/>
  <c r="C74" i="2"/>
  <c r="H74" i="2" s="1"/>
  <c r="C75" i="2"/>
  <c r="H75" i="2" s="1"/>
  <c r="C76" i="2"/>
  <c r="G76" i="2" s="1"/>
  <c r="C77" i="2"/>
  <c r="G77" i="2" s="1"/>
  <c r="C78" i="2"/>
  <c r="G78" i="2" s="1"/>
  <c r="C79" i="2"/>
  <c r="G79" i="2" s="1"/>
  <c r="C80" i="2"/>
  <c r="H80" i="2" s="1"/>
  <c r="C81" i="2"/>
  <c r="H81" i="2" s="1"/>
  <c r="C82" i="2"/>
  <c r="H82" i="2" s="1"/>
  <c r="C83" i="2"/>
  <c r="H83" i="2" s="1"/>
  <c r="C84" i="2"/>
  <c r="G84" i="2" s="1"/>
  <c r="C85" i="2"/>
  <c r="G85" i="2" s="1"/>
  <c r="C86" i="2"/>
  <c r="G86" i="2" s="1"/>
  <c r="C87" i="2"/>
  <c r="G87" i="2" s="1"/>
  <c r="C88" i="2"/>
  <c r="H88" i="2" s="1"/>
  <c r="C89" i="2"/>
  <c r="H89" i="2" s="1"/>
  <c r="C90" i="2"/>
  <c r="H90" i="2" s="1"/>
  <c r="C91" i="2"/>
  <c r="H91" i="2" s="1"/>
  <c r="C92" i="2"/>
  <c r="G92" i="2" s="1"/>
  <c r="C93" i="2"/>
  <c r="G93" i="2" s="1"/>
  <c r="C94" i="2"/>
  <c r="G94" i="2" s="1"/>
  <c r="C95" i="2"/>
  <c r="G95" i="2" s="1"/>
  <c r="C96" i="2"/>
  <c r="H96" i="2" s="1"/>
  <c r="C97" i="2"/>
  <c r="H97" i="2" s="1"/>
  <c r="C98" i="2"/>
  <c r="H98" i="2" s="1"/>
  <c r="C99" i="2"/>
  <c r="H99" i="2" s="1"/>
  <c r="C100" i="2"/>
  <c r="G100" i="2" s="1"/>
  <c r="C101" i="2"/>
  <c r="G101" i="2" s="1"/>
  <c r="C102" i="2"/>
  <c r="G102" i="2" s="1"/>
  <c r="C103" i="2"/>
  <c r="G103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K32" i="2" l="1"/>
  <c r="K16" i="2"/>
  <c r="K59" i="2"/>
  <c r="K27" i="2"/>
  <c r="K90" i="2"/>
  <c r="K58" i="2"/>
  <c r="K40" i="2"/>
  <c r="K48" i="2"/>
  <c r="K77" i="2"/>
  <c r="K69" i="2"/>
  <c r="D63" i="2"/>
  <c r="D47" i="2"/>
  <c r="E103" i="2"/>
  <c r="E87" i="2"/>
  <c r="E71" i="2"/>
  <c r="I71" i="2" s="1"/>
  <c r="E55" i="2"/>
  <c r="E39" i="2"/>
  <c r="E23" i="2"/>
  <c r="I23" i="2" s="1"/>
  <c r="H95" i="2"/>
  <c r="H79" i="2"/>
  <c r="H63" i="2"/>
  <c r="H47" i="2"/>
  <c r="H31" i="2"/>
  <c r="H15" i="2"/>
  <c r="D94" i="2"/>
  <c r="D78" i="2"/>
  <c r="D62" i="2"/>
  <c r="D46" i="2"/>
  <c r="D30" i="2"/>
  <c r="D14" i="2"/>
  <c r="E102" i="2"/>
  <c r="E86" i="2"/>
  <c r="E70" i="2"/>
  <c r="I70" i="2" s="1"/>
  <c r="K70" i="2" s="1"/>
  <c r="E54" i="2"/>
  <c r="I54" i="2" s="1"/>
  <c r="K54" i="2" s="1"/>
  <c r="E38" i="2"/>
  <c r="E22" i="2"/>
  <c r="E6" i="2"/>
  <c r="H94" i="2"/>
  <c r="H78" i="2"/>
  <c r="H62" i="2"/>
  <c r="H46" i="2"/>
  <c r="H30" i="2"/>
  <c r="H14" i="2"/>
  <c r="D92" i="2"/>
  <c r="D76" i="2"/>
  <c r="D60" i="2"/>
  <c r="D44" i="2"/>
  <c r="D28" i="2"/>
  <c r="D12" i="2"/>
  <c r="E100" i="2"/>
  <c r="I100" i="2" s="1"/>
  <c r="K100" i="2" s="1"/>
  <c r="E84" i="2"/>
  <c r="E68" i="2"/>
  <c r="E52" i="2"/>
  <c r="E36" i="2"/>
  <c r="E20" i="2"/>
  <c r="E4" i="2"/>
  <c r="H92" i="2"/>
  <c r="H76" i="2"/>
  <c r="H60" i="2"/>
  <c r="H44" i="2"/>
  <c r="H28" i="2"/>
  <c r="H12" i="2"/>
  <c r="D103" i="2"/>
  <c r="D87" i="2"/>
  <c r="D71" i="2"/>
  <c r="D55" i="2"/>
  <c r="D39" i="2"/>
  <c r="D23" i="2"/>
  <c r="D7" i="2"/>
  <c r="E95" i="2"/>
  <c r="E79" i="2"/>
  <c r="E63" i="2"/>
  <c r="I63" i="2" s="1"/>
  <c r="E47" i="2"/>
  <c r="I47" i="2" s="1"/>
  <c r="E31" i="2"/>
  <c r="I31" i="2" s="1"/>
  <c r="E15" i="2"/>
  <c r="I15" i="2" s="1"/>
  <c r="H103" i="2"/>
  <c r="H87" i="2"/>
  <c r="H71" i="2"/>
  <c r="H55" i="2"/>
  <c r="H39" i="2"/>
  <c r="H23" i="2"/>
  <c r="D15" i="2"/>
  <c r="D77" i="2"/>
  <c r="D13" i="2"/>
  <c r="E53" i="2"/>
  <c r="H77" i="2"/>
  <c r="D102" i="2"/>
  <c r="D86" i="2"/>
  <c r="D70" i="2"/>
  <c r="D54" i="2"/>
  <c r="D38" i="2"/>
  <c r="D22" i="2"/>
  <c r="D6" i="2"/>
  <c r="E94" i="2"/>
  <c r="I94" i="2" s="1"/>
  <c r="K94" i="2" s="1"/>
  <c r="E78" i="2"/>
  <c r="I78" i="2" s="1"/>
  <c r="K78" i="2" s="1"/>
  <c r="E62" i="2"/>
  <c r="I62" i="2" s="1"/>
  <c r="K62" i="2" s="1"/>
  <c r="E46" i="2"/>
  <c r="I46" i="2" s="1"/>
  <c r="K46" i="2" s="1"/>
  <c r="E30" i="2"/>
  <c r="E14" i="2"/>
  <c r="I14" i="2" s="1"/>
  <c r="K14" i="2" s="1"/>
  <c r="H102" i="2"/>
  <c r="H86" i="2"/>
  <c r="H70" i="2"/>
  <c r="H54" i="2"/>
  <c r="H38" i="2"/>
  <c r="H22" i="2"/>
  <c r="D79" i="2"/>
  <c r="D31" i="2"/>
  <c r="E7" i="2"/>
  <c r="D61" i="2"/>
  <c r="D29" i="2"/>
  <c r="E85" i="2"/>
  <c r="E37" i="2"/>
  <c r="E21" i="2"/>
  <c r="H93" i="2"/>
  <c r="H61" i="2"/>
  <c r="H29" i="2"/>
  <c r="H13" i="2"/>
  <c r="D101" i="2"/>
  <c r="D85" i="2"/>
  <c r="D69" i="2"/>
  <c r="D53" i="2"/>
  <c r="D37" i="2"/>
  <c r="D21" i="2"/>
  <c r="D5" i="2"/>
  <c r="E93" i="2"/>
  <c r="E77" i="2"/>
  <c r="I77" i="2" s="1"/>
  <c r="E61" i="2"/>
  <c r="E45" i="2"/>
  <c r="E29" i="2"/>
  <c r="E13" i="2"/>
  <c r="I13" i="2" s="1"/>
  <c r="H101" i="2"/>
  <c r="H85" i="2"/>
  <c r="H69" i="2"/>
  <c r="H53" i="2"/>
  <c r="H37" i="2"/>
  <c r="H21" i="2"/>
  <c r="D95" i="2"/>
  <c r="D93" i="2"/>
  <c r="D45" i="2"/>
  <c r="E101" i="2"/>
  <c r="E69" i="2"/>
  <c r="I69" i="2" s="1"/>
  <c r="E5" i="2"/>
  <c r="H45" i="2"/>
  <c r="D100" i="2"/>
  <c r="D84" i="2"/>
  <c r="D68" i="2"/>
  <c r="D52" i="2"/>
  <c r="D36" i="2"/>
  <c r="D20" i="2"/>
  <c r="D4" i="2"/>
  <c r="E92" i="2"/>
  <c r="E76" i="2"/>
  <c r="E60" i="2"/>
  <c r="E44" i="2"/>
  <c r="E28" i="2"/>
  <c r="I28" i="2" s="1"/>
  <c r="K28" i="2" s="1"/>
  <c r="E12" i="2"/>
  <c r="I12" i="2" s="1"/>
  <c r="K12" i="2" s="1"/>
  <c r="H100" i="2"/>
  <c r="H84" i="2"/>
  <c r="H68" i="2"/>
  <c r="H52" i="2"/>
  <c r="H36" i="2"/>
  <c r="H20" i="2"/>
  <c r="F99" i="2"/>
  <c r="F91" i="2"/>
  <c r="F83" i="2"/>
  <c r="F75" i="2"/>
  <c r="F67" i="2"/>
  <c r="F59" i="2"/>
  <c r="F51" i="2"/>
  <c r="F43" i="2"/>
  <c r="F35" i="2"/>
  <c r="F27" i="2"/>
  <c r="F19" i="2"/>
  <c r="F11" i="2"/>
  <c r="G99" i="2"/>
  <c r="G91" i="2"/>
  <c r="G83" i="2"/>
  <c r="G75" i="2"/>
  <c r="G67" i="2"/>
  <c r="G59" i="2"/>
  <c r="G51" i="2"/>
  <c r="G43" i="2"/>
  <c r="G35" i="2"/>
  <c r="G27" i="2"/>
  <c r="G19" i="2"/>
  <c r="G11" i="2"/>
  <c r="H7" i="2"/>
  <c r="F98" i="2"/>
  <c r="F90" i="2"/>
  <c r="F82" i="2"/>
  <c r="F74" i="2"/>
  <c r="F66" i="2"/>
  <c r="F58" i="2"/>
  <c r="F50" i="2"/>
  <c r="F42" i="2"/>
  <c r="F34" i="2"/>
  <c r="F26" i="2"/>
  <c r="F18" i="2"/>
  <c r="F10" i="2"/>
  <c r="G98" i="2"/>
  <c r="G90" i="2"/>
  <c r="G82" i="2"/>
  <c r="G74" i="2"/>
  <c r="G66" i="2"/>
  <c r="G58" i="2"/>
  <c r="G50" i="2"/>
  <c r="G42" i="2"/>
  <c r="G34" i="2"/>
  <c r="G26" i="2"/>
  <c r="G18" i="2"/>
  <c r="G10" i="2"/>
  <c r="H6" i="2"/>
  <c r="F97" i="2"/>
  <c r="F89" i="2"/>
  <c r="F81" i="2"/>
  <c r="F73" i="2"/>
  <c r="F65" i="2"/>
  <c r="F57" i="2"/>
  <c r="F49" i="2"/>
  <c r="F41" i="2"/>
  <c r="F33" i="2"/>
  <c r="F25" i="2"/>
  <c r="F17" i="2"/>
  <c r="F9" i="2"/>
  <c r="G97" i="2"/>
  <c r="G89" i="2"/>
  <c r="G81" i="2"/>
  <c r="G73" i="2"/>
  <c r="G65" i="2"/>
  <c r="G57" i="2"/>
  <c r="G49" i="2"/>
  <c r="G41" i="2"/>
  <c r="G33" i="2"/>
  <c r="G25" i="2"/>
  <c r="G17" i="2"/>
  <c r="G9" i="2"/>
  <c r="H5" i="2"/>
  <c r="F96" i="2"/>
  <c r="F88" i="2"/>
  <c r="F80" i="2"/>
  <c r="F72" i="2"/>
  <c r="F64" i="2"/>
  <c r="F56" i="2"/>
  <c r="F48" i="2"/>
  <c r="F40" i="2"/>
  <c r="F32" i="2"/>
  <c r="F24" i="2"/>
  <c r="F16" i="2"/>
  <c r="F8" i="2"/>
  <c r="G96" i="2"/>
  <c r="G88" i="2"/>
  <c r="G80" i="2"/>
  <c r="G72" i="2"/>
  <c r="G64" i="2"/>
  <c r="G56" i="2"/>
  <c r="G48" i="2"/>
  <c r="G40" i="2"/>
  <c r="G32" i="2"/>
  <c r="G24" i="2"/>
  <c r="G16" i="2"/>
  <c r="G8" i="2"/>
  <c r="H4" i="2"/>
  <c r="D99" i="2"/>
  <c r="D91" i="2"/>
  <c r="D83" i="2"/>
  <c r="D75" i="2"/>
  <c r="D67" i="2"/>
  <c r="D59" i="2"/>
  <c r="D51" i="2"/>
  <c r="D43" i="2"/>
  <c r="D35" i="2"/>
  <c r="D27" i="2"/>
  <c r="D19" i="2"/>
  <c r="D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E99" i="2"/>
  <c r="I99" i="2" s="1"/>
  <c r="K99" i="2" s="1"/>
  <c r="E91" i="2"/>
  <c r="I91" i="2" s="1"/>
  <c r="K91" i="2" s="1"/>
  <c r="E83" i="2"/>
  <c r="I83" i="2" s="1"/>
  <c r="K83" i="2" s="1"/>
  <c r="E75" i="2"/>
  <c r="I75" i="2" s="1"/>
  <c r="E67" i="2"/>
  <c r="I67" i="2" s="1"/>
  <c r="K67" i="2" s="1"/>
  <c r="E59" i="2"/>
  <c r="I59" i="2" s="1"/>
  <c r="E51" i="2"/>
  <c r="I51" i="2" s="1"/>
  <c r="E43" i="2"/>
  <c r="I43" i="2" s="1"/>
  <c r="K43" i="2" s="1"/>
  <c r="E35" i="2"/>
  <c r="I35" i="2" s="1"/>
  <c r="K35" i="2" s="1"/>
  <c r="E27" i="2"/>
  <c r="I27" i="2" s="1"/>
  <c r="E19" i="2"/>
  <c r="I19" i="2" s="1"/>
  <c r="K19" i="2" s="1"/>
  <c r="E11" i="2"/>
  <c r="I11" i="2" s="1"/>
  <c r="K11" i="2" s="1"/>
  <c r="D98" i="2"/>
  <c r="D90" i="2"/>
  <c r="D82" i="2"/>
  <c r="D74" i="2"/>
  <c r="D66" i="2"/>
  <c r="D58" i="2"/>
  <c r="D50" i="2"/>
  <c r="D42" i="2"/>
  <c r="D34" i="2"/>
  <c r="D26" i="2"/>
  <c r="D18" i="2"/>
  <c r="D10" i="2"/>
  <c r="F102" i="2"/>
  <c r="F94" i="2"/>
  <c r="F86" i="2"/>
  <c r="F78" i="2"/>
  <c r="F70" i="2"/>
  <c r="F62" i="2"/>
  <c r="F54" i="2"/>
  <c r="F46" i="2"/>
  <c r="F38" i="2"/>
  <c r="F30" i="2"/>
  <c r="F22" i="2"/>
  <c r="F14" i="2"/>
  <c r="F6" i="2"/>
  <c r="E98" i="2"/>
  <c r="I98" i="2" s="1"/>
  <c r="K98" i="2" s="1"/>
  <c r="E90" i="2"/>
  <c r="I90" i="2" s="1"/>
  <c r="E82" i="2"/>
  <c r="I82" i="2" s="1"/>
  <c r="K82" i="2" s="1"/>
  <c r="E74" i="2"/>
  <c r="I74" i="2" s="1"/>
  <c r="K74" i="2" s="1"/>
  <c r="E66" i="2"/>
  <c r="I66" i="2" s="1"/>
  <c r="K66" i="2" s="1"/>
  <c r="E58" i="2"/>
  <c r="I58" i="2" s="1"/>
  <c r="E50" i="2"/>
  <c r="I50" i="2" s="1"/>
  <c r="E42" i="2"/>
  <c r="I42" i="2" s="1"/>
  <c r="K42" i="2" s="1"/>
  <c r="E34" i="2"/>
  <c r="I34" i="2" s="1"/>
  <c r="K34" i="2" s="1"/>
  <c r="E26" i="2"/>
  <c r="I26" i="2" s="1"/>
  <c r="K26" i="2" s="1"/>
  <c r="E18" i="2"/>
  <c r="I18" i="2" s="1"/>
  <c r="E10" i="2"/>
  <c r="I10" i="2" s="1"/>
  <c r="K10" i="2" s="1"/>
  <c r="D97" i="2"/>
  <c r="D89" i="2"/>
  <c r="D81" i="2"/>
  <c r="D73" i="2"/>
  <c r="D65" i="2"/>
  <c r="D57" i="2"/>
  <c r="D49" i="2"/>
  <c r="D41" i="2"/>
  <c r="D33" i="2"/>
  <c r="D25" i="2"/>
  <c r="D17" i="2"/>
  <c r="D9" i="2"/>
  <c r="F101" i="2"/>
  <c r="F93" i="2"/>
  <c r="F85" i="2"/>
  <c r="F77" i="2"/>
  <c r="F69" i="2"/>
  <c r="F61" i="2"/>
  <c r="F53" i="2"/>
  <c r="F45" i="2"/>
  <c r="F37" i="2"/>
  <c r="F29" i="2"/>
  <c r="F21" i="2"/>
  <c r="F13" i="2"/>
  <c r="F5" i="2"/>
  <c r="E97" i="2"/>
  <c r="I97" i="2" s="1"/>
  <c r="E89" i="2"/>
  <c r="I89" i="2" s="1"/>
  <c r="E81" i="2"/>
  <c r="I81" i="2" s="1"/>
  <c r="E73" i="2"/>
  <c r="I73" i="2" s="1"/>
  <c r="E65" i="2"/>
  <c r="I65" i="2" s="1"/>
  <c r="K65" i="2" s="1"/>
  <c r="E57" i="2"/>
  <c r="I57" i="2" s="1"/>
  <c r="E49" i="2"/>
  <c r="I49" i="2" s="1"/>
  <c r="E41" i="2"/>
  <c r="I41" i="2" s="1"/>
  <c r="E33" i="2"/>
  <c r="I33" i="2" s="1"/>
  <c r="K33" i="2" s="1"/>
  <c r="E25" i="2"/>
  <c r="I25" i="2" s="1"/>
  <c r="E17" i="2"/>
  <c r="I17" i="2" s="1"/>
  <c r="E9" i="2"/>
  <c r="I9" i="2" s="1"/>
  <c r="K9" i="2" s="1"/>
  <c r="D96" i="2"/>
  <c r="D88" i="2"/>
  <c r="D80" i="2"/>
  <c r="D72" i="2"/>
  <c r="D64" i="2"/>
  <c r="D56" i="2"/>
  <c r="D48" i="2"/>
  <c r="D40" i="2"/>
  <c r="D32" i="2"/>
  <c r="D24" i="2"/>
  <c r="D16" i="2"/>
  <c r="D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E96" i="2"/>
  <c r="I96" i="2" s="1"/>
  <c r="E88" i="2"/>
  <c r="I88" i="2" s="1"/>
  <c r="E80" i="2"/>
  <c r="I80" i="2" s="1"/>
  <c r="E72" i="2"/>
  <c r="I72" i="2" s="1"/>
  <c r="E64" i="2"/>
  <c r="I64" i="2" s="1"/>
  <c r="E56" i="2"/>
  <c r="I56" i="2" s="1"/>
  <c r="K56" i="2" s="1"/>
  <c r="E48" i="2"/>
  <c r="I48" i="2" s="1"/>
  <c r="E40" i="2"/>
  <c r="I40" i="2" s="1"/>
  <c r="E32" i="2"/>
  <c r="I32" i="2" s="1"/>
  <c r="E24" i="2"/>
  <c r="I24" i="2" s="1"/>
  <c r="K24" i="2" s="1"/>
  <c r="E16" i="2"/>
  <c r="I16" i="2" s="1"/>
  <c r="E8" i="2"/>
  <c r="I8" i="2" s="1"/>
  <c r="L24" i="2" l="1"/>
  <c r="L35" i="2"/>
  <c r="L65" i="2"/>
  <c r="L34" i="2"/>
  <c r="L67" i="2"/>
  <c r="L74" i="2"/>
  <c r="L82" i="2"/>
  <c r="L9" i="2"/>
  <c r="L98" i="2"/>
  <c r="L56" i="2"/>
  <c r="L33" i="2"/>
  <c r="L11" i="2"/>
  <c r="L14" i="2"/>
  <c r="L58" i="2"/>
  <c r="L100" i="2"/>
  <c r="L54" i="2"/>
  <c r="L69" i="2"/>
  <c r="L90" i="2"/>
  <c r="L16" i="2"/>
  <c r="L66" i="2"/>
  <c r="L91" i="2"/>
  <c r="I29" i="2"/>
  <c r="K29" i="2" s="1"/>
  <c r="I21" i="2"/>
  <c r="K21" i="2" s="1"/>
  <c r="L46" i="2"/>
  <c r="L70" i="2"/>
  <c r="I39" i="2"/>
  <c r="K39" i="2" s="1"/>
  <c r="L77" i="2"/>
  <c r="L19" i="2"/>
  <c r="L32" i="2"/>
  <c r="L42" i="2"/>
  <c r="L40" i="2"/>
  <c r="L28" i="2"/>
  <c r="L59" i="2"/>
  <c r="L83" i="2"/>
  <c r="L99" i="2"/>
  <c r="L43" i="2"/>
  <c r="I85" i="2"/>
  <c r="K85" i="2" s="1"/>
  <c r="I79" i="2"/>
  <c r="L26" i="2"/>
  <c r="L94" i="2"/>
  <c r="L12" i="2"/>
  <c r="L27" i="2"/>
  <c r="I44" i="2"/>
  <c r="K44" i="2" s="1"/>
  <c r="L10" i="2"/>
  <c r="L62" i="2"/>
  <c r="L78" i="2"/>
  <c r="I102" i="2"/>
  <c r="K102" i="2" s="1"/>
  <c r="L48" i="2"/>
  <c r="K31" i="2"/>
  <c r="K47" i="2"/>
  <c r="K75" i="2"/>
  <c r="I61" i="2"/>
  <c r="K79" i="2"/>
  <c r="K71" i="2"/>
  <c r="K25" i="2"/>
  <c r="K51" i="2"/>
  <c r="K17" i="2"/>
  <c r="K57" i="2"/>
  <c r="K72" i="2"/>
  <c r="K63" i="2"/>
  <c r="K64" i="2"/>
  <c r="I95" i="2"/>
  <c r="K41" i="2"/>
  <c r="K49" i="2"/>
  <c r="K89" i="2"/>
  <c r="K80" i="2"/>
  <c r="K50" i="2"/>
  <c r="K23" i="2"/>
  <c r="K73" i="2"/>
  <c r="K81" i="2"/>
  <c r="K18" i="2"/>
  <c r="K88" i="2"/>
  <c r="K15" i="2"/>
  <c r="I60" i="2"/>
  <c r="K13" i="2"/>
  <c r="K97" i="2"/>
  <c r="I101" i="2"/>
  <c r="K8" i="2"/>
  <c r="K96" i="2"/>
  <c r="I76" i="2"/>
  <c r="I45" i="2"/>
  <c r="I37" i="2"/>
  <c r="I4" i="2"/>
  <c r="I86" i="2"/>
  <c r="I55" i="2"/>
  <c r="I30" i="2"/>
  <c r="I5" i="2"/>
  <c r="I36" i="2"/>
  <c r="I87" i="2"/>
  <c r="I92" i="2"/>
  <c r="I93" i="2"/>
  <c r="I53" i="2"/>
  <c r="I52" i="2"/>
  <c r="I6" i="2"/>
  <c r="I103" i="2"/>
  <c r="I7" i="2"/>
  <c r="I68" i="2"/>
  <c r="I22" i="2"/>
  <c r="I20" i="2"/>
  <c r="I84" i="2"/>
  <c r="I38" i="2"/>
  <c r="L39" i="2" l="1"/>
  <c r="L81" i="2"/>
  <c r="L44" i="2"/>
  <c r="L73" i="2"/>
  <c r="L102" i="2"/>
  <c r="L97" i="2"/>
  <c r="L23" i="2"/>
  <c r="L85" i="2"/>
  <c r="L13" i="2"/>
  <c r="L50" i="2"/>
  <c r="L75" i="2"/>
  <c r="L80" i="2"/>
  <c r="L57" i="2"/>
  <c r="L21" i="2"/>
  <c r="L15" i="2"/>
  <c r="L89" i="2"/>
  <c r="L17" i="2"/>
  <c r="L47" i="2"/>
  <c r="L29" i="2"/>
  <c r="L8" i="2"/>
  <c r="L71" i="2"/>
  <c r="L64" i="2"/>
  <c r="L79" i="2"/>
  <c r="L63" i="2"/>
  <c r="L72" i="2"/>
  <c r="L88" i="2"/>
  <c r="L49" i="2"/>
  <c r="L51" i="2"/>
  <c r="L31" i="2"/>
  <c r="L96" i="2"/>
  <c r="L18" i="2"/>
  <c r="L41" i="2"/>
  <c r="L25" i="2"/>
  <c r="K52" i="2"/>
  <c r="K60" i="2"/>
  <c r="K4" i="2"/>
  <c r="K95" i="2"/>
  <c r="K103" i="2"/>
  <c r="K5" i="2"/>
  <c r="K6" i="2"/>
  <c r="K93" i="2"/>
  <c r="K92" i="2"/>
  <c r="K61" i="2"/>
  <c r="K53" i="2"/>
  <c r="K86" i="2"/>
  <c r="K20" i="2"/>
  <c r="K22" i="2"/>
  <c r="K37" i="2"/>
  <c r="K68" i="2"/>
  <c r="K87" i="2"/>
  <c r="K45" i="2"/>
  <c r="K30" i="2"/>
  <c r="K38" i="2"/>
  <c r="K55" i="2"/>
  <c r="K84" i="2"/>
  <c r="K101" i="2"/>
  <c r="K7" i="2"/>
  <c r="K36" i="2"/>
  <c r="K76" i="2"/>
  <c r="L84" i="2" l="1"/>
  <c r="L5" i="2"/>
  <c r="L55" i="2"/>
  <c r="L103" i="2"/>
  <c r="L86" i="2"/>
  <c r="L30" i="2"/>
  <c r="L4" i="2"/>
  <c r="L45" i="2"/>
  <c r="L60" i="2"/>
  <c r="L36" i="2"/>
  <c r="L92" i="2"/>
  <c r="L7" i="2"/>
  <c r="L68" i="2"/>
  <c r="L93" i="2"/>
  <c r="L22" i="2"/>
  <c r="L20" i="2"/>
  <c r="L38" i="2"/>
  <c r="L95" i="2"/>
  <c r="L53" i="2"/>
  <c r="L76" i="2"/>
  <c r="L61" i="2"/>
  <c r="L87" i="2"/>
  <c r="L52" i="2"/>
  <c r="L101" i="2"/>
  <c r="L37" i="2"/>
  <c r="L6" i="2"/>
</calcChain>
</file>

<file path=xl/sharedStrings.xml><?xml version="1.0" encoding="utf-8"?>
<sst xmlns="http://schemas.openxmlformats.org/spreadsheetml/2006/main" count="568" uniqueCount="164">
  <si>
    <t>ID</t>
  </si>
  <si>
    <t>Nama Kasir</t>
  </si>
  <si>
    <t>Kode Produk</t>
  </si>
  <si>
    <t>Tanggal Beli</t>
  </si>
  <si>
    <t>Qty</t>
  </si>
  <si>
    <t>Member</t>
  </si>
  <si>
    <t>TRX-001</t>
  </si>
  <si>
    <t>budi santoso</t>
  </si>
  <si>
    <t>P-01</t>
  </si>
  <si>
    <t>Ya</t>
  </si>
  <si>
    <t>TRX-002</t>
  </si>
  <si>
    <t>SITI AMINAH</t>
  </si>
  <si>
    <t>P-02</t>
  </si>
  <si>
    <t>Tidak</t>
  </si>
  <si>
    <t>TRX-003</t>
  </si>
  <si>
    <t>andi wijaya</t>
  </si>
  <si>
    <t>P-03</t>
  </si>
  <si>
    <t>TRX-004</t>
  </si>
  <si>
    <t>dewi lestari</t>
  </si>
  <si>
    <t>TRX-005</t>
  </si>
  <si>
    <t>Eko Prasetyo</t>
  </si>
  <si>
    <t>P-04</t>
  </si>
  <si>
    <t>TRX-006</t>
  </si>
  <si>
    <t>Rina mr</t>
  </si>
  <si>
    <t>P-05</t>
  </si>
  <si>
    <t>TRX-007</t>
  </si>
  <si>
    <t>AGUS SUPRIYADI</t>
  </si>
  <si>
    <t>TRX-008</t>
  </si>
  <si>
    <t>nina herlina</t>
  </si>
  <si>
    <t>TRX-009</t>
  </si>
  <si>
    <t>Doni Salmanan</t>
  </si>
  <si>
    <t>TRX-010</t>
  </si>
  <si>
    <t>Fajar Nugraha</t>
  </si>
  <si>
    <t>TRX-011</t>
  </si>
  <si>
    <t>GINA sonia</t>
  </si>
  <si>
    <t>TRX-012</t>
  </si>
  <si>
    <t>Hendra Gunawan</t>
  </si>
  <si>
    <t>TRX-013</t>
  </si>
  <si>
    <t>INDRA BEKTI</t>
  </si>
  <si>
    <t>TRX-014</t>
  </si>
  <si>
    <t>joko widodo</t>
  </si>
  <si>
    <t>TRX-015</t>
  </si>
  <si>
    <t>Kiki Amalia</t>
  </si>
  <si>
    <t>TRX-016</t>
  </si>
  <si>
    <t>LINA MARLINA</t>
  </si>
  <si>
    <t>TRX-017</t>
  </si>
  <si>
    <t>maman abdurrahman</t>
  </si>
  <si>
    <t>TRX-018</t>
  </si>
  <si>
    <t>Nanda Saputra</t>
  </si>
  <si>
    <t>TRX-019</t>
  </si>
  <si>
    <t>Oki Setiana</t>
  </si>
  <si>
    <t>TRX-020</t>
  </si>
  <si>
    <t>PUTRI TITIAN</t>
  </si>
  <si>
    <t>TRX-021</t>
  </si>
  <si>
    <t>qory sandioriva</t>
  </si>
  <si>
    <t>TRX-022</t>
  </si>
  <si>
    <t>reza rahardian</t>
  </si>
  <si>
    <t>TRX-023</t>
  </si>
  <si>
    <t>SISCA SOEWITOMO</t>
  </si>
  <si>
    <t>TRX-024</t>
  </si>
  <si>
    <t>Tora Sudiro</t>
  </si>
  <si>
    <t>TRX-025</t>
  </si>
  <si>
    <t>umay shahab</t>
  </si>
  <si>
    <t>TRX-026</t>
  </si>
  <si>
    <t>TRX-027</t>
  </si>
  <si>
    <t>TRX-028</t>
  </si>
  <si>
    <t>TRX-029</t>
  </si>
  <si>
    <t>TRX-030</t>
  </si>
  <si>
    <t>TRX-031</t>
  </si>
  <si>
    <t>TRX-032</t>
  </si>
  <si>
    <t>TRX-033</t>
  </si>
  <si>
    <t>TRX-034</t>
  </si>
  <si>
    <t>TRX-035</t>
  </si>
  <si>
    <t>TRX-036</t>
  </si>
  <si>
    <t>TRX-037</t>
  </si>
  <si>
    <t>TRX-038</t>
  </si>
  <si>
    <t>TRX-039</t>
  </si>
  <si>
    <t>TRX-040</t>
  </si>
  <si>
    <t>TRX-041</t>
  </si>
  <si>
    <t>TRX-042</t>
  </si>
  <si>
    <t>TRX-043</t>
  </si>
  <si>
    <t>TRX-044</t>
  </si>
  <si>
    <t>TRX-045</t>
  </si>
  <si>
    <t>TRX-046</t>
  </si>
  <si>
    <t>TRX-047</t>
  </si>
  <si>
    <t>TRX-048</t>
  </si>
  <si>
    <t>TRX-049</t>
  </si>
  <si>
    <t>TRX-050</t>
  </si>
  <si>
    <t>TRX-051</t>
  </si>
  <si>
    <t>TRX-052</t>
  </si>
  <si>
    <t>TRX-053</t>
  </si>
  <si>
    <t>TRX-054</t>
  </si>
  <si>
    <t>TRX-055</t>
  </si>
  <si>
    <t>TRX-056</t>
  </si>
  <si>
    <t>TRX-057</t>
  </si>
  <si>
    <t>TRX-058</t>
  </si>
  <si>
    <t>TRX-059</t>
  </si>
  <si>
    <t>TRX-060</t>
  </si>
  <si>
    <t>TRX-061</t>
  </si>
  <si>
    <t>TRX-062</t>
  </si>
  <si>
    <t>TRX-063</t>
  </si>
  <si>
    <t>TRX-064</t>
  </si>
  <si>
    <t>TRX-065</t>
  </si>
  <si>
    <t>TRX-066</t>
  </si>
  <si>
    <t>TRX-067</t>
  </si>
  <si>
    <t>TRX-068</t>
  </si>
  <si>
    <t>TRX-069</t>
  </si>
  <si>
    <t>TRX-070</t>
  </si>
  <si>
    <t>TRX-071</t>
  </si>
  <si>
    <t>TRX-072</t>
  </si>
  <si>
    <t>TRX-073</t>
  </si>
  <si>
    <t>TRX-074</t>
  </si>
  <si>
    <t>TRX-075</t>
  </si>
  <si>
    <t>TRX-076</t>
  </si>
  <si>
    <t>TRX-077</t>
  </si>
  <si>
    <t>TRX-078</t>
  </si>
  <si>
    <t>TRX-079</t>
  </si>
  <si>
    <t>TRX-080</t>
  </si>
  <si>
    <t>TRX-081</t>
  </si>
  <si>
    <t>TRX-082</t>
  </si>
  <si>
    <t>TRX-083</t>
  </si>
  <si>
    <t>TRX-084</t>
  </si>
  <si>
    <t>TRX-085</t>
  </si>
  <si>
    <t>TRX-086</t>
  </si>
  <si>
    <t>TRX-087</t>
  </si>
  <si>
    <t>TRX-088</t>
  </si>
  <si>
    <t>TRX-089</t>
  </si>
  <si>
    <t>TRX-090</t>
  </si>
  <si>
    <t>TRX-091</t>
  </si>
  <si>
    <t>TRX-092</t>
  </si>
  <si>
    <t>TRX-093</t>
  </si>
  <si>
    <t>TRX-094</t>
  </si>
  <si>
    <t>TRX-095</t>
  </si>
  <si>
    <t>TRX-096</t>
  </si>
  <si>
    <t>TRX-097</t>
  </si>
  <si>
    <t>TRX-098</t>
  </si>
  <si>
    <t>TRX-099</t>
  </si>
  <si>
    <t>TRX-100</t>
  </si>
  <si>
    <t>Nama Produk</t>
  </si>
  <si>
    <t>Harga Satuan</t>
  </si>
  <si>
    <t>Kategori</t>
  </si>
  <si>
    <t>Laptop Pro 14</t>
  </si>
  <si>
    <t>Komputer</t>
  </si>
  <si>
    <t>Mouse Wireless</t>
  </si>
  <si>
    <t>Aksesoris</t>
  </si>
  <si>
    <t>Keyboard Mechanical</t>
  </si>
  <si>
    <t>Monitor 27 Inch</t>
  </si>
  <si>
    <t>Flashdisk 64GB</t>
  </si>
  <si>
    <t>Quantity</t>
  </si>
  <si>
    <t>Total Harga</t>
  </si>
  <si>
    <t>Status Diskon</t>
  </si>
  <si>
    <t>Nominal Diskon</t>
  </si>
  <si>
    <t>Total Bayar</t>
  </si>
  <si>
    <t>LAPORAN PENJUALAN TOKO ELEKTRONIK CAHYA NUSANTARA (JANUARY 2023 - JUNE 2023)</t>
  </si>
  <si>
    <t>Dianalisis Oleh : Bernardinus Marianus Ngere</t>
  </si>
  <si>
    <t>Total Pendapatan</t>
  </si>
  <si>
    <t>Rata-rata Transaksi</t>
  </si>
  <si>
    <t>Transaksi Tertinggi</t>
  </si>
  <si>
    <t>Transaksi Terendah</t>
  </si>
  <si>
    <t>PENJUALAN TIAP PRODUK</t>
  </si>
  <si>
    <t>#</t>
  </si>
  <si>
    <t>Quantity Terjual</t>
  </si>
  <si>
    <t>Kategori Produk</t>
  </si>
  <si>
    <t>PENJUALAN BERDASARKAN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</si>
</sst>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43" formatCode="_-* #,##0.00_-;\-* #,##0.00_-;_-* &quot;-&quot;??_-;_-@_-"/>
    <numFmt numFmtId="171" formatCode="&quot;Rp&quot;#,##0"/>
    <numFmt numFmtId="172" formatCode="[$-F800]dddd\,\ mmmm\ dd\,\ yyyy"/>
    <numFmt numFmtId="174" formatCode="_-&quot;Rp&quot;* #,##0_-;\-&quot;Rp&quot;* #,##0_-;_-&quot;Rp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Poppins"/>
    </font>
    <font>
      <b/>
      <sz val="14"/>
      <color theme="5" tint="-0.249977111117893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6"/>
      <color theme="5" tint="-0.249977111117893"/>
      <name val="Poppins"/>
    </font>
    <font>
      <b/>
      <sz val="10"/>
      <color theme="1"/>
      <name val="Poppins"/>
    </font>
    <font>
      <b/>
      <sz val="10"/>
      <name val="Poppins"/>
    </font>
    <font>
      <b/>
      <sz val="14"/>
      <color theme="5"/>
      <name val="Poppins"/>
    </font>
    <font>
      <sz val="10"/>
      <color rgb="FF1F1F1F"/>
      <name val="Poppins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medium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medium">
        <color theme="5"/>
      </bottom>
      <diagonal/>
    </border>
    <border>
      <left style="thin">
        <color theme="2" tint="-0.249977111117893"/>
      </left>
      <right/>
      <top/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medium">
        <color theme="5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15" fontId="2" fillId="0" borderId="1" xfId="0" applyNumberFormat="1" applyFont="1" applyBorder="1" applyAlignment="1">
      <alignment horizontal="left" vertical="center" wrapText="1" indent="1" readingOrder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Border="1"/>
    <xf numFmtId="171" fontId="6" fillId="0" borderId="0" xfId="0" applyNumberFormat="1" applyFont="1" applyBorder="1"/>
    <xf numFmtId="172" fontId="6" fillId="0" borderId="0" xfId="0" applyNumberFormat="1" applyFont="1" applyBorder="1"/>
    <xf numFmtId="0" fontId="6" fillId="0" borderId="0" xfId="0" applyNumberFormat="1" applyFont="1" applyBorder="1"/>
    <xf numFmtId="43" fontId="8" fillId="0" borderId="0" xfId="1" applyFont="1" applyBorder="1" applyAlignment="1">
      <alignment vertical="top" wrapText="1"/>
    </xf>
    <xf numFmtId="43" fontId="8" fillId="0" borderId="0" xfId="1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171" fontId="11" fillId="0" borderId="0" xfId="0" applyNumberFormat="1" applyFont="1" applyBorder="1" applyAlignment="1">
      <alignment horizontal="center" vertical="center"/>
    </xf>
    <xf numFmtId="0" fontId="4" fillId="0" borderId="2" xfId="0" applyFont="1" applyBorder="1"/>
    <xf numFmtId="171" fontId="11" fillId="0" borderId="3" xfId="0" applyNumberFormat="1" applyFont="1" applyBorder="1" applyAlignment="1">
      <alignment horizontal="center" vertical="center"/>
    </xf>
    <xf numFmtId="0" fontId="9" fillId="0" borderId="0" xfId="0" applyFont="1" applyBorder="1" applyAlignment="1"/>
    <xf numFmtId="171" fontId="11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171" fontId="11" fillId="0" borderId="7" xfId="0" applyNumberFormat="1" applyFont="1" applyBorder="1" applyAlignment="1">
      <alignment horizontal="center" vertical="center"/>
    </xf>
    <xf numFmtId="171" fontId="11" fillId="0" borderId="6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71" fontId="11" fillId="0" borderId="11" xfId="0" applyNumberFormat="1" applyFont="1" applyBorder="1" applyAlignment="1">
      <alignment horizontal="center" vertical="center"/>
    </xf>
    <xf numFmtId="171" fontId="11" fillId="0" borderId="12" xfId="0" applyNumberFormat="1" applyFont="1" applyBorder="1" applyAlignment="1">
      <alignment horizontal="center" vertical="center"/>
    </xf>
    <xf numFmtId="0" fontId="4" fillId="0" borderId="7" xfId="0" applyFont="1" applyBorder="1"/>
    <xf numFmtId="0" fontId="12" fillId="0" borderId="0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 wrapText="1" indent="1" readingOrder="1"/>
    </xf>
    <xf numFmtId="0" fontId="6" fillId="0" borderId="14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174" fontId="6" fillId="0" borderId="0" xfId="0" applyNumberFormat="1" applyFont="1" applyBorder="1" applyAlignment="1">
      <alignment horizontal="center"/>
    </xf>
    <xf numFmtId="174" fontId="6" fillId="0" borderId="11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74" fontId="6" fillId="0" borderId="14" xfId="0" applyNumberFormat="1" applyFont="1" applyBorder="1" applyAlignment="1">
      <alignment horizontal="center"/>
    </xf>
    <xf numFmtId="174" fontId="6" fillId="0" borderId="15" xfId="0" applyNumberFormat="1" applyFont="1" applyBorder="1" applyAlignment="1">
      <alignment horizontal="center"/>
    </xf>
    <xf numFmtId="44" fontId="6" fillId="0" borderId="0" xfId="0" applyNumberFormat="1" applyFont="1" applyBorder="1" applyAlignment="1">
      <alignment horizontal="center"/>
    </xf>
    <xf numFmtId="44" fontId="6" fillId="0" borderId="11" xfId="0" applyNumberFormat="1" applyFont="1" applyBorder="1" applyAlignment="1">
      <alignment horizontal="center"/>
    </xf>
    <xf numFmtId="44" fontId="6" fillId="0" borderId="14" xfId="0" applyNumberFormat="1" applyFont="1" applyBorder="1" applyAlignment="1">
      <alignment horizontal="center"/>
    </xf>
    <xf numFmtId="44" fontId="6" fillId="0" borderId="15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71" formatCode="&quot;Rp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71" formatCode="&quot;Rp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71" formatCode="&quot;Rp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72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71" formatCode="&quot;Rp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Poppins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17813-2C0D-4A00-BEB4-C5B619FF218B}" name="Table1" displayName="Table1" ref="A3:M103" totalsRowShown="0" headerRowDxfId="14" dataDxfId="0">
  <autoFilter ref="A3:M103" xr:uid="{C9417813-2C0D-4A00-BEB4-C5B619FF218B}"/>
  <tableColumns count="13">
    <tableColumn id="1" xr3:uid="{0FEFD461-2A28-4CDE-AD6A-496E8C9E5ACC}" name="ID" dataDxfId="13"/>
    <tableColumn id="2" xr3:uid="{A0A35F41-8874-4D67-943A-5CB51A26CD1D}" name="Nama Kasir" dataDxfId="12">
      <calculatedColumnFormula>PROPER(TRIM(VLOOKUP(Table1[[#This Row],[ID]],tabel_data_mentah,2,FALSE)))</calculatedColumnFormula>
    </tableColumn>
    <tableColumn id="3" xr3:uid="{A7BBAFE9-7D90-4508-A329-01B51AA34129}" name="Kode Produk" dataDxfId="11">
      <calculatedColumnFormula>VLOOKUP(Table1[[#This Row],[ID]],tabel_data_mentah,3,FALSE)</calculatedColumnFormula>
    </tableColumn>
    <tableColumn id="4" xr3:uid="{55DB849A-3E93-4741-82DA-9AF7B14785F6}" name="Nama Produk" dataDxfId="10">
      <calculatedColumnFormula>VLOOKUP(Table1[[#This Row],[Kode Produk]],tabel_referensi,2,FALSE)</calculatedColumnFormula>
    </tableColumn>
    <tableColumn id="5" xr3:uid="{086920E3-5737-4B5D-8672-9851F2D389FE}" name="Harga Satuan" dataDxfId="9">
      <calculatedColumnFormula>VLOOKUP(Table1[[#This Row],[Kode Produk]],tabel_referensi,3,FALSE)</calculatedColumnFormula>
    </tableColumn>
    <tableColumn id="6" xr3:uid="{8A446581-5A74-4545-9CF3-67E051FB964F}" name="Kategori" dataDxfId="8">
      <calculatedColumnFormula>VLOOKUP(Table1[[#This Row],[Kode Produk]],tabel_referensi,4,FALSE)</calculatedColumnFormula>
    </tableColumn>
    <tableColumn id="7" xr3:uid="{352628DC-92E0-473A-BF77-904B79505067}" name="Tanggal Beli" dataDxfId="7">
      <calculatedColumnFormula>INDEX('Data Mentah'!$D$2:$D$101,MATCH(Table1[[#This Row],[Kode Produk]],'Data Mentah'!$C$2:$C$101,0))</calculatedColumnFormula>
    </tableColumn>
    <tableColumn id="8" xr3:uid="{074C81EA-5EFC-4E69-8F2B-390D17AEFF26}" name="Quantity" dataDxfId="6">
      <calculatedColumnFormula>INDEX('Data Mentah'!$E$2:$E$101,MATCH(Table1[[#This Row],[Kode Produk]],'Data Mentah'!$C$2:$C$101,0))</calculatedColumnFormula>
    </tableColumn>
    <tableColumn id="11" xr3:uid="{363C3839-88B9-48C1-A36E-2ED09ED91D6E}" name="Total Harga" dataDxfId="5">
      <calculatedColumnFormula>Table1[[#This Row],[Harga Satuan]]*Table1[[#This Row],[Quantity]]</calculatedColumnFormula>
    </tableColumn>
    <tableColumn id="9" xr3:uid="{7B19C32E-D741-42AF-8665-645DC1A98E4A}" name="Member" dataDxfId="4">
      <calculatedColumnFormula>VLOOKUP(Table1[[#This Row],[ID]],tabel_data_mentah,6,FALSE)</calculatedColumnFormula>
    </tableColumn>
    <tableColumn id="12" xr3:uid="{3ECD4DC7-F8D1-4954-A889-EA1116CFBEF9}" name="Status Diskon" dataDxfId="3">
      <calculatedColumnFormula>IF(AND(Table1[[#This Row],[Member]]="Ya",Table1[[#This Row],[Total Harga]]&gt;1000000),"10%","0%")</calculatedColumnFormula>
    </tableColumn>
    <tableColumn id="13" xr3:uid="{DD5C3EDD-B6D3-404D-B2FC-E8E98176730E}" name="Nominal Diskon" dataDxfId="2">
      <calculatedColumnFormula>Table1[[#This Row],[Status Diskon]]*Table1[[#This Row],[Total Harga]]</calculatedColumnFormula>
    </tableColumn>
    <tableColumn id="14" xr3:uid="{8E55ADB0-E6CA-4FB9-BDAC-7EB7A289B81D}" name="Total Bayar" dataDxfId="1">
      <calculatedColumnFormula>Table1[[#This Row],[Total Harga]]-Table1[[#This Row],[Nominal Diskon]]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A108-E52A-4418-BF9A-4A21A5A39F7A}">
  <dimension ref="A1:F101"/>
  <sheetViews>
    <sheetView tabSelected="1" workbookViewId="0">
      <selection activeCell="D8" sqref="D8"/>
    </sheetView>
  </sheetViews>
  <sheetFormatPr defaultRowHeight="15" x14ac:dyDescent="0.25"/>
  <cols>
    <col min="1" max="1" width="20.7109375" customWidth="1"/>
    <col min="2" max="2" width="24.5703125" customWidth="1"/>
    <col min="3" max="6" width="20.7109375" customWidth="1"/>
    <col min="10" max="10" width="9.85546875" customWidth="1"/>
    <col min="11" max="11" width="11.5703125" customWidth="1"/>
    <col min="12" max="12" width="11.42578125" bestFit="1" customWidth="1"/>
    <col min="13" max="13" width="12.1406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2" t="s">
        <v>6</v>
      </c>
      <c r="B2" s="2" t="s">
        <v>7</v>
      </c>
      <c r="C2" s="2" t="s">
        <v>8</v>
      </c>
      <c r="D2" s="3">
        <v>44938</v>
      </c>
      <c r="E2" s="2">
        <v>2</v>
      </c>
      <c r="F2" s="2" t="s">
        <v>9</v>
      </c>
    </row>
    <row r="3" spans="1:6" ht="15.75" thickBot="1" x14ac:dyDescent="0.3">
      <c r="A3" s="2" t="s">
        <v>10</v>
      </c>
      <c r="B3" s="2" t="s">
        <v>11</v>
      </c>
      <c r="C3" s="2" t="s">
        <v>12</v>
      </c>
      <c r="D3" s="4">
        <v>44972</v>
      </c>
      <c r="E3" s="2">
        <v>1</v>
      </c>
      <c r="F3" s="2" t="s">
        <v>13</v>
      </c>
    </row>
    <row r="4" spans="1:6" ht="15.75" thickBot="1" x14ac:dyDescent="0.3">
      <c r="A4" s="2" t="s">
        <v>14</v>
      </c>
      <c r="B4" s="2" t="s">
        <v>15</v>
      </c>
      <c r="C4" s="2" t="s">
        <v>16</v>
      </c>
      <c r="D4" s="3">
        <v>44995</v>
      </c>
      <c r="E4" s="2">
        <v>3</v>
      </c>
      <c r="F4" s="2" t="s">
        <v>9</v>
      </c>
    </row>
    <row r="5" spans="1:6" ht="15.75" thickBot="1" x14ac:dyDescent="0.3">
      <c r="A5" s="2" t="s">
        <v>17</v>
      </c>
      <c r="B5" s="2" t="s">
        <v>18</v>
      </c>
      <c r="C5" s="2" t="s">
        <v>8</v>
      </c>
      <c r="D5" s="4">
        <v>45021</v>
      </c>
      <c r="E5" s="2">
        <v>1</v>
      </c>
      <c r="F5" s="2" t="s">
        <v>13</v>
      </c>
    </row>
    <row r="6" spans="1:6" ht="15.75" thickBot="1" x14ac:dyDescent="0.3">
      <c r="A6" s="2" t="s">
        <v>19</v>
      </c>
      <c r="B6" s="2" t="s">
        <v>20</v>
      </c>
      <c r="C6" s="2" t="s">
        <v>21</v>
      </c>
      <c r="D6" s="3">
        <v>45058</v>
      </c>
      <c r="E6" s="2">
        <v>2</v>
      </c>
      <c r="F6" s="2" t="s">
        <v>9</v>
      </c>
    </row>
    <row r="7" spans="1:6" ht="15.75" thickBot="1" x14ac:dyDescent="0.3">
      <c r="A7" s="2" t="s">
        <v>22</v>
      </c>
      <c r="B7" s="2" t="s">
        <v>23</v>
      </c>
      <c r="C7" s="2" t="s">
        <v>24</v>
      </c>
      <c r="D7" s="4">
        <v>45097</v>
      </c>
      <c r="E7" s="2">
        <v>5</v>
      </c>
      <c r="F7" s="2" t="s">
        <v>13</v>
      </c>
    </row>
    <row r="8" spans="1:6" ht="15.75" thickBot="1" x14ac:dyDescent="0.3">
      <c r="A8" s="2" t="s">
        <v>25</v>
      </c>
      <c r="B8" s="2" t="s">
        <v>26</v>
      </c>
      <c r="C8" s="2" t="s">
        <v>12</v>
      </c>
      <c r="D8" s="3">
        <v>45129</v>
      </c>
      <c r="E8" s="2">
        <v>10</v>
      </c>
      <c r="F8" s="2" t="s">
        <v>9</v>
      </c>
    </row>
    <row r="9" spans="1:6" ht="15.75" thickBot="1" x14ac:dyDescent="0.3">
      <c r="A9" s="2" t="s">
        <v>27</v>
      </c>
      <c r="B9" s="2" t="s">
        <v>28</v>
      </c>
      <c r="C9" s="2" t="s">
        <v>16</v>
      </c>
      <c r="D9" s="4">
        <v>45146</v>
      </c>
      <c r="E9" s="2">
        <v>2</v>
      </c>
      <c r="F9" s="2" t="s">
        <v>13</v>
      </c>
    </row>
    <row r="10" spans="1:6" ht="15.75" thickBot="1" x14ac:dyDescent="0.3">
      <c r="A10" s="2" t="s">
        <v>29</v>
      </c>
      <c r="B10" s="2" t="s">
        <v>30</v>
      </c>
      <c r="C10" s="2" t="s">
        <v>21</v>
      </c>
      <c r="D10" s="3">
        <v>45183</v>
      </c>
      <c r="E10" s="2">
        <v>1</v>
      </c>
      <c r="F10" s="2" t="s">
        <v>9</v>
      </c>
    </row>
    <row r="11" spans="1:6" ht="15.75" thickBot="1" x14ac:dyDescent="0.3">
      <c r="A11" s="2" t="s">
        <v>31</v>
      </c>
      <c r="B11" s="2" t="s">
        <v>32</v>
      </c>
      <c r="C11" s="2" t="s">
        <v>24</v>
      </c>
      <c r="D11" s="4">
        <v>45200</v>
      </c>
      <c r="E11" s="2">
        <v>3</v>
      </c>
      <c r="F11" s="2" t="s">
        <v>13</v>
      </c>
    </row>
    <row r="12" spans="1:6" ht="15.75" thickBot="1" x14ac:dyDescent="0.3">
      <c r="A12" s="2" t="s">
        <v>33</v>
      </c>
      <c r="B12" s="2" t="s">
        <v>34</v>
      </c>
      <c r="C12" s="2" t="s">
        <v>8</v>
      </c>
      <c r="D12" s="3">
        <v>45241</v>
      </c>
      <c r="E12" s="2">
        <v>1</v>
      </c>
      <c r="F12" s="2" t="s">
        <v>9</v>
      </c>
    </row>
    <row r="13" spans="1:6" ht="15.75" thickBot="1" x14ac:dyDescent="0.3">
      <c r="A13" s="2" t="s">
        <v>35</v>
      </c>
      <c r="B13" s="2" t="s">
        <v>36</v>
      </c>
      <c r="C13" s="2" t="s">
        <v>12</v>
      </c>
      <c r="D13" s="4">
        <v>45285</v>
      </c>
      <c r="E13" s="2">
        <v>4</v>
      </c>
      <c r="F13" s="2" t="s">
        <v>13</v>
      </c>
    </row>
    <row r="14" spans="1:6" ht="15.75" thickBot="1" x14ac:dyDescent="0.3">
      <c r="A14" s="2" t="s">
        <v>37</v>
      </c>
      <c r="B14" s="2" t="s">
        <v>38</v>
      </c>
      <c r="C14" s="2" t="s">
        <v>16</v>
      </c>
      <c r="D14" s="3">
        <v>45301</v>
      </c>
      <c r="E14" s="2">
        <v>2</v>
      </c>
      <c r="F14" s="2" t="s">
        <v>9</v>
      </c>
    </row>
    <row r="15" spans="1:6" ht="15.75" thickBot="1" x14ac:dyDescent="0.3">
      <c r="A15" s="2" t="s">
        <v>39</v>
      </c>
      <c r="B15" s="2" t="s">
        <v>40</v>
      </c>
      <c r="C15" s="2" t="s">
        <v>21</v>
      </c>
      <c r="D15" s="4">
        <v>45336</v>
      </c>
      <c r="E15" s="2">
        <v>1</v>
      </c>
      <c r="F15" s="2" t="s">
        <v>13</v>
      </c>
    </row>
    <row r="16" spans="1:6" ht="15.75" thickBot="1" x14ac:dyDescent="0.3">
      <c r="A16" s="2" t="s">
        <v>41</v>
      </c>
      <c r="B16" s="2" t="s">
        <v>42</v>
      </c>
      <c r="C16" s="2" t="s">
        <v>24</v>
      </c>
      <c r="D16" s="3">
        <v>45356</v>
      </c>
      <c r="E16" s="2">
        <v>8</v>
      </c>
      <c r="F16" s="2" t="s">
        <v>9</v>
      </c>
    </row>
    <row r="17" spans="1:6" ht="15.75" thickBot="1" x14ac:dyDescent="0.3">
      <c r="A17" s="2" t="s">
        <v>43</v>
      </c>
      <c r="B17" s="2" t="s">
        <v>44</v>
      </c>
      <c r="C17" s="2" t="s">
        <v>8</v>
      </c>
      <c r="D17" s="4">
        <v>45400</v>
      </c>
      <c r="E17" s="2">
        <v>1</v>
      </c>
      <c r="F17" s="2" t="s">
        <v>13</v>
      </c>
    </row>
    <row r="18" spans="1:6" ht="15.75" thickBot="1" x14ac:dyDescent="0.3">
      <c r="A18" s="2" t="s">
        <v>45</v>
      </c>
      <c r="B18" s="2" t="s">
        <v>46</v>
      </c>
      <c r="C18" s="2" t="s">
        <v>12</v>
      </c>
      <c r="D18" s="3">
        <v>45434</v>
      </c>
      <c r="E18" s="2">
        <v>2</v>
      </c>
      <c r="F18" s="2" t="s">
        <v>9</v>
      </c>
    </row>
    <row r="19" spans="1:6" ht="15.75" thickBot="1" x14ac:dyDescent="0.3">
      <c r="A19" s="2" t="s">
        <v>47</v>
      </c>
      <c r="B19" s="2" t="s">
        <v>48</v>
      </c>
      <c r="C19" s="2" t="s">
        <v>16</v>
      </c>
      <c r="D19" s="4">
        <v>45450</v>
      </c>
      <c r="E19" s="2">
        <v>1</v>
      </c>
      <c r="F19" s="2" t="s">
        <v>13</v>
      </c>
    </row>
    <row r="20" spans="1:6" ht="15.75" thickBot="1" x14ac:dyDescent="0.3">
      <c r="A20" s="2" t="s">
        <v>49</v>
      </c>
      <c r="B20" s="2" t="s">
        <v>50</v>
      </c>
      <c r="C20" s="2" t="s">
        <v>21</v>
      </c>
      <c r="D20" s="3">
        <v>45492</v>
      </c>
      <c r="E20" s="2">
        <v>4</v>
      </c>
      <c r="F20" s="2" t="s">
        <v>9</v>
      </c>
    </row>
    <row r="21" spans="1:6" ht="15.75" thickBot="1" x14ac:dyDescent="0.3">
      <c r="A21" s="2" t="s">
        <v>51</v>
      </c>
      <c r="B21" s="2" t="s">
        <v>52</v>
      </c>
      <c r="C21" s="2" t="s">
        <v>24</v>
      </c>
      <c r="D21" s="4">
        <v>45534</v>
      </c>
      <c r="E21" s="2">
        <v>2</v>
      </c>
      <c r="F21" s="2" t="s">
        <v>13</v>
      </c>
    </row>
    <row r="22" spans="1:6" ht="15.75" thickBot="1" x14ac:dyDescent="0.3">
      <c r="A22" s="2" t="s">
        <v>53</v>
      </c>
      <c r="B22" s="2" t="s">
        <v>54</v>
      </c>
      <c r="C22" s="2" t="s">
        <v>8</v>
      </c>
      <c r="D22" s="3">
        <v>45547</v>
      </c>
      <c r="E22" s="2">
        <v>1</v>
      </c>
      <c r="F22" s="2" t="s">
        <v>9</v>
      </c>
    </row>
    <row r="23" spans="1:6" ht="15.75" thickBot="1" x14ac:dyDescent="0.3">
      <c r="A23" s="2" t="s">
        <v>55</v>
      </c>
      <c r="B23" s="2" t="s">
        <v>56</v>
      </c>
      <c r="C23" s="2" t="s">
        <v>12</v>
      </c>
      <c r="D23" s="4">
        <v>45590</v>
      </c>
      <c r="E23" s="2">
        <v>5</v>
      </c>
      <c r="F23" s="2" t="s">
        <v>13</v>
      </c>
    </row>
    <row r="24" spans="1:6" ht="15.75" thickBot="1" x14ac:dyDescent="0.3">
      <c r="A24" s="2" t="s">
        <v>57</v>
      </c>
      <c r="B24" s="2" t="s">
        <v>58</v>
      </c>
      <c r="C24" s="2" t="s">
        <v>16</v>
      </c>
      <c r="D24" s="3">
        <v>45598</v>
      </c>
      <c r="E24" s="2">
        <v>3</v>
      </c>
      <c r="F24" s="2" t="s">
        <v>9</v>
      </c>
    </row>
    <row r="25" spans="1:6" ht="15.75" thickBot="1" x14ac:dyDescent="0.3">
      <c r="A25" s="2" t="s">
        <v>59</v>
      </c>
      <c r="B25" s="2" t="s">
        <v>60</v>
      </c>
      <c r="C25" s="2" t="s">
        <v>21</v>
      </c>
      <c r="D25" s="4">
        <v>45638</v>
      </c>
      <c r="E25" s="2">
        <v>1</v>
      </c>
      <c r="F25" s="2" t="s">
        <v>13</v>
      </c>
    </row>
    <row r="26" spans="1:6" ht="15.75" thickBot="1" x14ac:dyDescent="0.3">
      <c r="A26" s="2" t="s">
        <v>61</v>
      </c>
      <c r="B26" s="2" t="s">
        <v>62</v>
      </c>
      <c r="C26" s="2" t="s">
        <v>24</v>
      </c>
      <c r="D26" s="3">
        <v>45662</v>
      </c>
      <c r="E26" s="2">
        <v>10</v>
      </c>
      <c r="F26" s="2" t="s">
        <v>9</v>
      </c>
    </row>
    <row r="27" spans="1:6" ht="15.75" thickBot="1" x14ac:dyDescent="0.3">
      <c r="A27" s="2" t="s">
        <v>63</v>
      </c>
      <c r="B27" s="2" t="s">
        <v>7</v>
      </c>
      <c r="C27" s="2" t="s">
        <v>12</v>
      </c>
      <c r="D27" s="3">
        <v>44941</v>
      </c>
      <c r="E27" s="2">
        <v>1</v>
      </c>
      <c r="F27" s="2" t="s">
        <v>9</v>
      </c>
    </row>
    <row r="28" spans="1:6" ht="15.75" thickBot="1" x14ac:dyDescent="0.3">
      <c r="A28" s="2" t="s">
        <v>64</v>
      </c>
      <c r="B28" s="2" t="s">
        <v>11</v>
      </c>
      <c r="C28" s="2" t="s">
        <v>16</v>
      </c>
      <c r="D28" s="4">
        <v>44975</v>
      </c>
      <c r="E28" s="2">
        <v>2</v>
      </c>
      <c r="F28" s="2" t="s">
        <v>13</v>
      </c>
    </row>
    <row r="29" spans="1:6" ht="15.75" thickBot="1" x14ac:dyDescent="0.3">
      <c r="A29" s="2" t="s">
        <v>65</v>
      </c>
      <c r="B29" s="2" t="s">
        <v>15</v>
      </c>
      <c r="C29" s="2" t="s">
        <v>21</v>
      </c>
      <c r="D29" s="3">
        <v>44997</v>
      </c>
      <c r="E29" s="2">
        <v>1</v>
      </c>
      <c r="F29" s="2" t="s">
        <v>9</v>
      </c>
    </row>
    <row r="30" spans="1:6" ht="15.75" thickBot="1" x14ac:dyDescent="0.3">
      <c r="A30" s="2" t="s">
        <v>66</v>
      </c>
      <c r="B30" s="2" t="s">
        <v>18</v>
      </c>
      <c r="C30" s="2" t="s">
        <v>24</v>
      </c>
      <c r="D30" s="4">
        <v>45024</v>
      </c>
      <c r="E30" s="2">
        <v>4</v>
      </c>
      <c r="F30" s="2" t="s">
        <v>13</v>
      </c>
    </row>
    <row r="31" spans="1:6" ht="15.75" thickBot="1" x14ac:dyDescent="0.3">
      <c r="A31" s="2" t="s">
        <v>67</v>
      </c>
      <c r="B31" s="2" t="s">
        <v>20</v>
      </c>
      <c r="C31" s="2" t="s">
        <v>8</v>
      </c>
      <c r="D31" s="3">
        <v>45061</v>
      </c>
      <c r="E31" s="2">
        <v>2</v>
      </c>
      <c r="F31" s="2" t="s">
        <v>9</v>
      </c>
    </row>
    <row r="32" spans="1:6" ht="15.75" thickBot="1" x14ac:dyDescent="0.3">
      <c r="A32" s="2" t="s">
        <v>68</v>
      </c>
      <c r="B32" s="2" t="s">
        <v>23</v>
      </c>
      <c r="C32" s="2" t="s">
        <v>12</v>
      </c>
      <c r="D32" s="4">
        <v>45099</v>
      </c>
      <c r="E32" s="2">
        <v>3</v>
      </c>
      <c r="F32" s="2" t="s">
        <v>13</v>
      </c>
    </row>
    <row r="33" spans="1:6" ht="15.75" thickBot="1" x14ac:dyDescent="0.3">
      <c r="A33" s="2" t="s">
        <v>69</v>
      </c>
      <c r="B33" s="2" t="s">
        <v>26</v>
      </c>
      <c r="C33" s="2" t="s">
        <v>16</v>
      </c>
      <c r="D33" s="3">
        <v>45132</v>
      </c>
      <c r="E33" s="2">
        <v>1</v>
      </c>
      <c r="F33" s="2" t="s">
        <v>9</v>
      </c>
    </row>
    <row r="34" spans="1:6" ht="15.75" thickBot="1" x14ac:dyDescent="0.3">
      <c r="A34" s="2" t="s">
        <v>70</v>
      </c>
      <c r="B34" s="2" t="s">
        <v>28</v>
      </c>
      <c r="C34" s="2" t="s">
        <v>21</v>
      </c>
      <c r="D34" s="4">
        <v>45148</v>
      </c>
      <c r="E34" s="2">
        <v>2</v>
      </c>
      <c r="F34" s="2" t="s">
        <v>13</v>
      </c>
    </row>
    <row r="35" spans="1:6" ht="15.75" thickBot="1" x14ac:dyDescent="0.3">
      <c r="A35" s="2" t="s">
        <v>71</v>
      </c>
      <c r="B35" s="2" t="s">
        <v>30</v>
      </c>
      <c r="C35" s="2" t="s">
        <v>24</v>
      </c>
      <c r="D35" s="3">
        <v>45185</v>
      </c>
      <c r="E35" s="2">
        <v>5</v>
      </c>
      <c r="F35" s="2" t="s">
        <v>9</v>
      </c>
    </row>
    <row r="36" spans="1:6" ht="15.75" thickBot="1" x14ac:dyDescent="0.3">
      <c r="A36" s="2" t="s">
        <v>72</v>
      </c>
      <c r="B36" s="2" t="s">
        <v>32</v>
      </c>
      <c r="C36" s="2" t="s">
        <v>8</v>
      </c>
      <c r="D36" s="4">
        <v>45204</v>
      </c>
      <c r="E36" s="2">
        <v>1</v>
      </c>
      <c r="F36" s="2" t="s">
        <v>13</v>
      </c>
    </row>
    <row r="37" spans="1:6" ht="15.75" thickBot="1" x14ac:dyDescent="0.3">
      <c r="A37" s="2" t="s">
        <v>73</v>
      </c>
      <c r="B37" s="2" t="s">
        <v>34</v>
      </c>
      <c r="C37" s="2" t="s">
        <v>12</v>
      </c>
      <c r="D37" s="3">
        <v>45245</v>
      </c>
      <c r="E37" s="2">
        <v>2</v>
      </c>
      <c r="F37" s="2" t="s">
        <v>9</v>
      </c>
    </row>
    <row r="38" spans="1:6" ht="15.75" thickBot="1" x14ac:dyDescent="0.3">
      <c r="A38" s="2" t="s">
        <v>74</v>
      </c>
      <c r="B38" s="2" t="s">
        <v>36</v>
      </c>
      <c r="C38" s="2" t="s">
        <v>16</v>
      </c>
      <c r="D38" s="4">
        <v>45288</v>
      </c>
      <c r="E38" s="2">
        <v>1</v>
      </c>
      <c r="F38" s="2" t="s">
        <v>13</v>
      </c>
    </row>
    <row r="39" spans="1:6" ht="15.75" thickBot="1" x14ac:dyDescent="0.3">
      <c r="A39" s="2" t="s">
        <v>75</v>
      </c>
      <c r="B39" s="2" t="s">
        <v>38</v>
      </c>
      <c r="C39" s="2" t="s">
        <v>21</v>
      </c>
      <c r="D39" s="3">
        <v>45303</v>
      </c>
      <c r="E39" s="2">
        <v>3</v>
      </c>
      <c r="F39" s="2" t="s">
        <v>9</v>
      </c>
    </row>
    <row r="40" spans="1:6" ht="15.75" thickBot="1" x14ac:dyDescent="0.3">
      <c r="A40" s="2" t="s">
        <v>76</v>
      </c>
      <c r="B40" s="2" t="s">
        <v>40</v>
      </c>
      <c r="C40" s="2" t="s">
        <v>24</v>
      </c>
      <c r="D40" s="4">
        <v>45340</v>
      </c>
      <c r="E40" s="2">
        <v>2</v>
      </c>
      <c r="F40" s="2" t="s">
        <v>13</v>
      </c>
    </row>
    <row r="41" spans="1:6" ht="15.75" thickBot="1" x14ac:dyDescent="0.3">
      <c r="A41" s="2" t="s">
        <v>77</v>
      </c>
      <c r="B41" s="2" t="s">
        <v>42</v>
      </c>
      <c r="C41" s="2" t="s">
        <v>8</v>
      </c>
      <c r="D41" s="3">
        <v>45359</v>
      </c>
      <c r="E41" s="2">
        <v>1</v>
      </c>
      <c r="F41" s="2" t="s">
        <v>9</v>
      </c>
    </row>
    <row r="42" spans="1:6" ht="15.75" thickBot="1" x14ac:dyDescent="0.3">
      <c r="A42" s="2" t="s">
        <v>78</v>
      </c>
      <c r="B42" s="2" t="s">
        <v>44</v>
      </c>
      <c r="C42" s="2" t="s">
        <v>12</v>
      </c>
      <c r="D42" s="4">
        <v>45402</v>
      </c>
      <c r="E42" s="2">
        <v>4</v>
      </c>
      <c r="F42" s="2" t="s">
        <v>13</v>
      </c>
    </row>
    <row r="43" spans="1:6" ht="15.75" thickBot="1" x14ac:dyDescent="0.3">
      <c r="A43" s="2" t="s">
        <v>79</v>
      </c>
      <c r="B43" s="2" t="s">
        <v>46</v>
      </c>
      <c r="C43" s="2" t="s">
        <v>16</v>
      </c>
      <c r="D43" s="3">
        <v>45437</v>
      </c>
      <c r="E43" s="2">
        <v>1</v>
      </c>
      <c r="F43" s="2" t="s">
        <v>9</v>
      </c>
    </row>
    <row r="44" spans="1:6" ht="15.75" thickBot="1" x14ac:dyDescent="0.3">
      <c r="A44" s="2" t="s">
        <v>80</v>
      </c>
      <c r="B44" s="2" t="s">
        <v>48</v>
      </c>
      <c r="C44" s="2" t="s">
        <v>21</v>
      </c>
      <c r="D44" s="4">
        <v>45453</v>
      </c>
      <c r="E44" s="2">
        <v>2</v>
      </c>
      <c r="F44" s="2" t="s">
        <v>13</v>
      </c>
    </row>
    <row r="45" spans="1:6" ht="15.75" thickBot="1" x14ac:dyDescent="0.3">
      <c r="A45" s="2" t="s">
        <v>81</v>
      </c>
      <c r="B45" s="2" t="s">
        <v>50</v>
      </c>
      <c r="C45" s="2" t="s">
        <v>24</v>
      </c>
      <c r="D45" s="3">
        <v>45495</v>
      </c>
      <c r="E45" s="2">
        <v>3</v>
      </c>
      <c r="F45" s="2" t="s">
        <v>9</v>
      </c>
    </row>
    <row r="46" spans="1:6" ht="15.75" thickBot="1" x14ac:dyDescent="0.3">
      <c r="A46" s="2" t="s">
        <v>82</v>
      </c>
      <c r="B46" s="2" t="s">
        <v>52</v>
      </c>
      <c r="C46" s="2" t="s">
        <v>8</v>
      </c>
      <c r="D46" s="4">
        <v>45537</v>
      </c>
      <c r="E46" s="2">
        <v>1</v>
      </c>
      <c r="F46" s="2" t="s">
        <v>13</v>
      </c>
    </row>
    <row r="47" spans="1:6" ht="15.75" thickBot="1" x14ac:dyDescent="0.3">
      <c r="A47" s="2" t="s">
        <v>83</v>
      </c>
      <c r="B47" s="2" t="s">
        <v>54</v>
      </c>
      <c r="C47" s="2" t="s">
        <v>12</v>
      </c>
      <c r="D47" s="3">
        <v>45550</v>
      </c>
      <c r="E47" s="2">
        <v>5</v>
      </c>
      <c r="F47" s="2" t="s">
        <v>9</v>
      </c>
    </row>
    <row r="48" spans="1:6" ht="15.75" thickBot="1" x14ac:dyDescent="0.3">
      <c r="A48" s="2" t="s">
        <v>84</v>
      </c>
      <c r="B48" s="2" t="s">
        <v>56</v>
      </c>
      <c r="C48" s="2" t="s">
        <v>16</v>
      </c>
      <c r="D48" s="4">
        <v>45593</v>
      </c>
      <c r="E48" s="2">
        <v>2</v>
      </c>
      <c r="F48" s="2" t="s">
        <v>13</v>
      </c>
    </row>
    <row r="49" spans="1:6" ht="15.75" thickBot="1" x14ac:dyDescent="0.3">
      <c r="A49" s="2" t="s">
        <v>85</v>
      </c>
      <c r="B49" s="2" t="s">
        <v>58</v>
      </c>
      <c r="C49" s="2" t="s">
        <v>21</v>
      </c>
      <c r="D49" s="3">
        <v>45601</v>
      </c>
      <c r="E49" s="2">
        <v>1</v>
      </c>
      <c r="F49" s="2" t="s">
        <v>9</v>
      </c>
    </row>
    <row r="50" spans="1:6" ht="15.75" thickBot="1" x14ac:dyDescent="0.3">
      <c r="A50" s="2" t="s">
        <v>86</v>
      </c>
      <c r="B50" s="2" t="s">
        <v>60</v>
      </c>
      <c r="C50" s="2" t="s">
        <v>24</v>
      </c>
      <c r="D50" s="4">
        <v>45641</v>
      </c>
      <c r="E50" s="2">
        <v>4</v>
      </c>
      <c r="F50" s="2" t="s">
        <v>13</v>
      </c>
    </row>
    <row r="51" spans="1:6" ht="15.75" thickBot="1" x14ac:dyDescent="0.3">
      <c r="A51" s="2" t="s">
        <v>87</v>
      </c>
      <c r="B51" s="2" t="s">
        <v>62</v>
      </c>
      <c r="C51" s="2" t="s">
        <v>8</v>
      </c>
      <c r="D51" s="3">
        <v>45665</v>
      </c>
      <c r="E51" s="2">
        <v>2</v>
      </c>
      <c r="F51" s="2" t="s">
        <v>9</v>
      </c>
    </row>
    <row r="52" spans="1:6" ht="15.75" thickBot="1" x14ac:dyDescent="0.3">
      <c r="A52" s="2" t="s">
        <v>88</v>
      </c>
      <c r="B52" s="2" t="s">
        <v>7</v>
      </c>
      <c r="C52" s="2" t="s">
        <v>16</v>
      </c>
      <c r="D52" s="3">
        <v>44946</v>
      </c>
      <c r="E52" s="2">
        <v>1</v>
      </c>
      <c r="F52" s="2" t="s">
        <v>9</v>
      </c>
    </row>
    <row r="53" spans="1:6" ht="15.75" thickBot="1" x14ac:dyDescent="0.3">
      <c r="A53" s="2" t="s">
        <v>89</v>
      </c>
      <c r="B53" s="2" t="s">
        <v>11</v>
      </c>
      <c r="C53" s="2" t="s">
        <v>21</v>
      </c>
      <c r="D53" s="4">
        <v>44979</v>
      </c>
      <c r="E53" s="2">
        <v>2</v>
      </c>
      <c r="F53" s="2" t="s">
        <v>13</v>
      </c>
    </row>
    <row r="54" spans="1:6" ht="15.75" thickBot="1" x14ac:dyDescent="0.3">
      <c r="A54" s="2" t="s">
        <v>90</v>
      </c>
      <c r="B54" s="2" t="s">
        <v>15</v>
      </c>
      <c r="C54" s="2" t="s">
        <v>24</v>
      </c>
      <c r="D54" s="3">
        <v>45000</v>
      </c>
      <c r="E54" s="2">
        <v>6</v>
      </c>
      <c r="F54" s="2" t="s">
        <v>9</v>
      </c>
    </row>
    <row r="55" spans="1:6" ht="15.75" thickBot="1" x14ac:dyDescent="0.3">
      <c r="A55" s="2" t="s">
        <v>91</v>
      </c>
      <c r="B55" s="2" t="s">
        <v>18</v>
      </c>
      <c r="C55" s="2" t="s">
        <v>8</v>
      </c>
      <c r="D55" s="4">
        <v>45028</v>
      </c>
      <c r="E55" s="2">
        <v>1</v>
      </c>
      <c r="F55" s="2" t="s">
        <v>13</v>
      </c>
    </row>
    <row r="56" spans="1:6" ht="15.75" thickBot="1" x14ac:dyDescent="0.3">
      <c r="A56" s="2" t="s">
        <v>92</v>
      </c>
      <c r="B56" s="2" t="s">
        <v>20</v>
      </c>
      <c r="C56" s="2" t="s">
        <v>12</v>
      </c>
      <c r="D56" s="3">
        <v>45064</v>
      </c>
      <c r="E56" s="2">
        <v>3</v>
      </c>
      <c r="F56" s="2" t="s">
        <v>9</v>
      </c>
    </row>
    <row r="57" spans="1:6" ht="15.75" thickBot="1" x14ac:dyDescent="0.3">
      <c r="A57" s="2" t="s">
        <v>93</v>
      </c>
      <c r="B57" s="2" t="s">
        <v>23</v>
      </c>
      <c r="C57" s="2" t="s">
        <v>16</v>
      </c>
      <c r="D57" s="4">
        <v>45102</v>
      </c>
      <c r="E57" s="2">
        <v>1</v>
      </c>
      <c r="F57" s="2" t="s">
        <v>13</v>
      </c>
    </row>
    <row r="58" spans="1:6" ht="15.75" thickBot="1" x14ac:dyDescent="0.3">
      <c r="A58" s="2" t="s">
        <v>94</v>
      </c>
      <c r="B58" s="2" t="s">
        <v>26</v>
      </c>
      <c r="C58" s="2" t="s">
        <v>21</v>
      </c>
      <c r="D58" s="3">
        <v>45135</v>
      </c>
      <c r="E58" s="2">
        <v>2</v>
      </c>
      <c r="F58" s="2" t="s">
        <v>9</v>
      </c>
    </row>
    <row r="59" spans="1:6" ht="15.75" thickBot="1" x14ac:dyDescent="0.3">
      <c r="A59" s="2" t="s">
        <v>95</v>
      </c>
      <c r="B59" s="2" t="s">
        <v>28</v>
      </c>
      <c r="C59" s="2" t="s">
        <v>24</v>
      </c>
      <c r="D59" s="4">
        <v>45152</v>
      </c>
      <c r="E59" s="2">
        <v>5</v>
      </c>
      <c r="F59" s="2" t="s">
        <v>13</v>
      </c>
    </row>
    <row r="60" spans="1:6" ht="15.75" thickBot="1" x14ac:dyDescent="0.3">
      <c r="A60" s="2" t="s">
        <v>96</v>
      </c>
      <c r="B60" s="2" t="s">
        <v>30</v>
      </c>
      <c r="C60" s="2" t="s">
        <v>8</v>
      </c>
      <c r="D60" s="3">
        <v>45189</v>
      </c>
      <c r="E60" s="2">
        <v>1</v>
      </c>
      <c r="F60" s="2" t="s">
        <v>9</v>
      </c>
    </row>
    <row r="61" spans="1:6" ht="15.75" thickBot="1" x14ac:dyDescent="0.3">
      <c r="A61" s="2" t="s">
        <v>97</v>
      </c>
      <c r="B61" s="2" t="s">
        <v>32</v>
      </c>
      <c r="C61" s="2" t="s">
        <v>12</v>
      </c>
      <c r="D61" s="4">
        <v>45209</v>
      </c>
      <c r="E61" s="2">
        <v>4</v>
      </c>
      <c r="F61" s="2" t="s">
        <v>13</v>
      </c>
    </row>
    <row r="62" spans="1:6" ht="15.75" thickBot="1" x14ac:dyDescent="0.3">
      <c r="A62" s="2" t="s">
        <v>98</v>
      </c>
      <c r="B62" s="2" t="s">
        <v>34</v>
      </c>
      <c r="C62" s="2" t="s">
        <v>16</v>
      </c>
      <c r="D62" s="3">
        <v>45248</v>
      </c>
      <c r="E62" s="2">
        <v>2</v>
      </c>
      <c r="F62" s="2" t="s">
        <v>9</v>
      </c>
    </row>
    <row r="63" spans="1:6" ht="15.75" thickBot="1" x14ac:dyDescent="0.3">
      <c r="A63" s="2" t="s">
        <v>99</v>
      </c>
      <c r="B63" s="2" t="s">
        <v>36</v>
      </c>
      <c r="C63" s="2" t="s">
        <v>21</v>
      </c>
      <c r="D63" s="4">
        <v>45290</v>
      </c>
      <c r="E63" s="2">
        <v>1</v>
      </c>
      <c r="F63" s="2" t="s">
        <v>13</v>
      </c>
    </row>
    <row r="64" spans="1:6" ht="15.75" thickBot="1" x14ac:dyDescent="0.3">
      <c r="A64" s="2" t="s">
        <v>100</v>
      </c>
      <c r="B64" s="2" t="s">
        <v>38</v>
      </c>
      <c r="C64" s="2" t="s">
        <v>24</v>
      </c>
      <c r="D64" s="3">
        <v>45306</v>
      </c>
      <c r="E64" s="2">
        <v>3</v>
      </c>
      <c r="F64" s="2" t="s">
        <v>9</v>
      </c>
    </row>
    <row r="65" spans="1:6" ht="15.75" thickBot="1" x14ac:dyDescent="0.3">
      <c r="A65" s="2" t="s">
        <v>101</v>
      </c>
      <c r="B65" s="2" t="s">
        <v>40</v>
      </c>
      <c r="C65" s="2" t="s">
        <v>8</v>
      </c>
      <c r="D65" s="4">
        <v>45344</v>
      </c>
      <c r="E65" s="2">
        <v>1</v>
      </c>
      <c r="F65" s="2" t="s">
        <v>13</v>
      </c>
    </row>
    <row r="66" spans="1:6" ht="15.75" thickBot="1" x14ac:dyDescent="0.3">
      <c r="A66" s="2" t="s">
        <v>102</v>
      </c>
      <c r="B66" s="2" t="s">
        <v>42</v>
      </c>
      <c r="C66" s="2" t="s">
        <v>12</v>
      </c>
      <c r="D66" s="3">
        <v>45363</v>
      </c>
      <c r="E66" s="2">
        <v>5</v>
      </c>
      <c r="F66" s="2" t="s">
        <v>9</v>
      </c>
    </row>
    <row r="67" spans="1:6" ht="15.75" thickBot="1" x14ac:dyDescent="0.3">
      <c r="A67" s="2" t="s">
        <v>103</v>
      </c>
      <c r="B67" s="2" t="s">
        <v>44</v>
      </c>
      <c r="C67" s="2" t="s">
        <v>16</v>
      </c>
      <c r="D67" s="4">
        <v>45407</v>
      </c>
      <c r="E67" s="2">
        <v>1</v>
      </c>
      <c r="F67" s="2" t="s">
        <v>13</v>
      </c>
    </row>
    <row r="68" spans="1:6" ht="15.75" thickBot="1" x14ac:dyDescent="0.3">
      <c r="A68" s="2" t="s">
        <v>104</v>
      </c>
      <c r="B68" s="2" t="s">
        <v>46</v>
      </c>
      <c r="C68" s="2" t="s">
        <v>21</v>
      </c>
      <c r="D68" s="3">
        <v>45440</v>
      </c>
      <c r="E68" s="2">
        <v>2</v>
      </c>
      <c r="F68" s="2" t="s">
        <v>9</v>
      </c>
    </row>
    <row r="69" spans="1:6" ht="15.75" thickBot="1" x14ac:dyDescent="0.3">
      <c r="A69" s="2" t="s">
        <v>105</v>
      </c>
      <c r="B69" s="2" t="s">
        <v>48</v>
      </c>
      <c r="C69" s="2" t="s">
        <v>24</v>
      </c>
      <c r="D69" s="4">
        <v>45458</v>
      </c>
      <c r="E69" s="2">
        <v>4</v>
      </c>
      <c r="F69" s="2" t="s">
        <v>13</v>
      </c>
    </row>
    <row r="70" spans="1:6" ht="15.75" thickBot="1" x14ac:dyDescent="0.3">
      <c r="A70" s="2" t="s">
        <v>106</v>
      </c>
      <c r="B70" s="2" t="s">
        <v>50</v>
      </c>
      <c r="C70" s="2" t="s">
        <v>8</v>
      </c>
      <c r="D70" s="3">
        <v>45498</v>
      </c>
      <c r="E70" s="2">
        <v>1</v>
      </c>
      <c r="F70" s="2" t="s">
        <v>9</v>
      </c>
    </row>
    <row r="71" spans="1:6" ht="15.75" thickBot="1" x14ac:dyDescent="0.3">
      <c r="A71" s="2" t="s">
        <v>107</v>
      </c>
      <c r="B71" s="2" t="s">
        <v>52</v>
      </c>
      <c r="C71" s="2" t="s">
        <v>12</v>
      </c>
      <c r="D71" s="4">
        <v>45540</v>
      </c>
      <c r="E71" s="2">
        <v>3</v>
      </c>
      <c r="F71" s="2" t="s">
        <v>13</v>
      </c>
    </row>
    <row r="72" spans="1:6" ht="15.75" thickBot="1" x14ac:dyDescent="0.3">
      <c r="A72" s="2" t="s">
        <v>108</v>
      </c>
      <c r="B72" s="2" t="s">
        <v>54</v>
      </c>
      <c r="C72" s="2" t="s">
        <v>16</v>
      </c>
      <c r="D72" s="3">
        <v>45553</v>
      </c>
      <c r="E72" s="2">
        <v>2</v>
      </c>
      <c r="F72" s="2" t="s">
        <v>9</v>
      </c>
    </row>
    <row r="73" spans="1:6" ht="15.75" thickBot="1" x14ac:dyDescent="0.3">
      <c r="A73" s="2" t="s">
        <v>109</v>
      </c>
      <c r="B73" s="2" t="s">
        <v>56</v>
      </c>
      <c r="C73" s="2" t="s">
        <v>21</v>
      </c>
      <c r="D73" s="4">
        <v>45595</v>
      </c>
      <c r="E73" s="2">
        <v>1</v>
      </c>
      <c r="F73" s="2" t="s">
        <v>13</v>
      </c>
    </row>
    <row r="74" spans="1:6" ht="15.75" thickBot="1" x14ac:dyDescent="0.3">
      <c r="A74" s="2" t="s">
        <v>110</v>
      </c>
      <c r="B74" s="2" t="s">
        <v>58</v>
      </c>
      <c r="C74" s="2" t="s">
        <v>24</v>
      </c>
      <c r="D74" s="3">
        <v>45604</v>
      </c>
      <c r="E74" s="2">
        <v>5</v>
      </c>
      <c r="F74" s="2" t="s">
        <v>9</v>
      </c>
    </row>
    <row r="75" spans="1:6" ht="15.75" thickBot="1" x14ac:dyDescent="0.3">
      <c r="A75" s="2" t="s">
        <v>111</v>
      </c>
      <c r="B75" s="2" t="s">
        <v>60</v>
      </c>
      <c r="C75" s="2" t="s">
        <v>8</v>
      </c>
      <c r="D75" s="4">
        <v>45644</v>
      </c>
      <c r="E75" s="2">
        <v>1</v>
      </c>
      <c r="F75" s="2" t="s">
        <v>13</v>
      </c>
    </row>
    <row r="76" spans="1:6" ht="15.75" thickBot="1" x14ac:dyDescent="0.3">
      <c r="A76" s="2" t="s">
        <v>112</v>
      </c>
      <c r="B76" s="2" t="s">
        <v>62</v>
      </c>
      <c r="C76" s="2" t="s">
        <v>12</v>
      </c>
      <c r="D76" s="3">
        <v>45669</v>
      </c>
      <c r="E76" s="2">
        <v>4</v>
      </c>
      <c r="F76" s="2" t="s">
        <v>9</v>
      </c>
    </row>
    <row r="77" spans="1:6" ht="15.75" thickBot="1" x14ac:dyDescent="0.3">
      <c r="A77" s="2" t="s">
        <v>113</v>
      </c>
      <c r="B77" s="2" t="s">
        <v>7</v>
      </c>
      <c r="C77" s="2" t="s">
        <v>21</v>
      </c>
      <c r="D77" s="3">
        <v>44951</v>
      </c>
      <c r="E77" s="2">
        <v>1</v>
      </c>
      <c r="F77" s="2" t="s">
        <v>9</v>
      </c>
    </row>
    <row r="78" spans="1:6" ht="15.75" thickBot="1" x14ac:dyDescent="0.3">
      <c r="A78" s="2" t="s">
        <v>114</v>
      </c>
      <c r="B78" s="2" t="s">
        <v>11</v>
      </c>
      <c r="C78" s="2" t="s">
        <v>24</v>
      </c>
      <c r="D78" s="4">
        <v>44982</v>
      </c>
      <c r="E78" s="2">
        <v>7</v>
      </c>
      <c r="F78" s="2" t="s">
        <v>13</v>
      </c>
    </row>
    <row r="79" spans="1:6" ht="15.75" thickBot="1" x14ac:dyDescent="0.3">
      <c r="A79" s="2" t="s">
        <v>115</v>
      </c>
      <c r="B79" s="2" t="s">
        <v>15</v>
      </c>
      <c r="C79" s="2" t="s">
        <v>8</v>
      </c>
      <c r="D79" s="3">
        <v>45003</v>
      </c>
      <c r="E79" s="2">
        <v>1</v>
      </c>
      <c r="F79" s="2" t="s">
        <v>9</v>
      </c>
    </row>
    <row r="80" spans="1:6" ht="15.75" thickBot="1" x14ac:dyDescent="0.3">
      <c r="A80" s="2" t="s">
        <v>116</v>
      </c>
      <c r="B80" s="2" t="s">
        <v>18</v>
      </c>
      <c r="C80" s="2" t="s">
        <v>12</v>
      </c>
      <c r="D80" s="4">
        <v>45031</v>
      </c>
      <c r="E80" s="2">
        <v>3</v>
      </c>
      <c r="F80" s="2" t="s">
        <v>13</v>
      </c>
    </row>
    <row r="81" spans="1:6" ht="15.75" thickBot="1" x14ac:dyDescent="0.3">
      <c r="A81" s="2" t="s">
        <v>117</v>
      </c>
      <c r="B81" s="2" t="s">
        <v>20</v>
      </c>
      <c r="C81" s="2" t="s">
        <v>16</v>
      </c>
      <c r="D81" s="3">
        <v>45068</v>
      </c>
      <c r="E81" s="2">
        <v>2</v>
      </c>
      <c r="F81" s="2" t="s">
        <v>9</v>
      </c>
    </row>
    <row r="82" spans="1:6" ht="15.75" thickBot="1" x14ac:dyDescent="0.3">
      <c r="A82" s="2" t="s">
        <v>118</v>
      </c>
      <c r="B82" s="2" t="s">
        <v>23</v>
      </c>
      <c r="C82" s="2" t="s">
        <v>21</v>
      </c>
      <c r="D82" s="4">
        <v>45105</v>
      </c>
      <c r="E82" s="2">
        <v>1</v>
      </c>
      <c r="F82" s="2" t="s">
        <v>13</v>
      </c>
    </row>
    <row r="83" spans="1:6" ht="15.75" thickBot="1" x14ac:dyDescent="0.3">
      <c r="A83" s="2" t="s">
        <v>119</v>
      </c>
      <c r="B83" s="2" t="s">
        <v>26</v>
      </c>
      <c r="C83" s="2" t="s">
        <v>24</v>
      </c>
      <c r="D83" s="3">
        <v>45137</v>
      </c>
      <c r="E83" s="2">
        <v>4</v>
      </c>
      <c r="F83" s="2" t="s">
        <v>9</v>
      </c>
    </row>
    <row r="84" spans="1:6" ht="15.75" thickBot="1" x14ac:dyDescent="0.3">
      <c r="A84" s="2" t="s">
        <v>120</v>
      </c>
      <c r="B84" s="2" t="s">
        <v>28</v>
      </c>
      <c r="C84" s="2" t="s">
        <v>8</v>
      </c>
      <c r="D84" s="4">
        <v>45156</v>
      </c>
      <c r="E84" s="2">
        <v>2</v>
      </c>
      <c r="F84" s="2" t="s">
        <v>13</v>
      </c>
    </row>
    <row r="85" spans="1:6" ht="15.75" thickBot="1" x14ac:dyDescent="0.3">
      <c r="A85" s="2" t="s">
        <v>121</v>
      </c>
      <c r="B85" s="2" t="s">
        <v>30</v>
      </c>
      <c r="C85" s="2" t="s">
        <v>12</v>
      </c>
      <c r="D85" s="3">
        <v>45194</v>
      </c>
      <c r="E85" s="2">
        <v>5</v>
      </c>
      <c r="F85" s="2" t="s">
        <v>9</v>
      </c>
    </row>
    <row r="86" spans="1:6" ht="15.75" thickBot="1" x14ac:dyDescent="0.3">
      <c r="A86" s="2" t="s">
        <v>122</v>
      </c>
      <c r="B86" s="2" t="s">
        <v>32</v>
      </c>
      <c r="C86" s="2" t="s">
        <v>16</v>
      </c>
      <c r="D86" s="4">
        <v>45214</v>
      </c>
      <c r="E86" s="2">
        <v>1</v>
      </c>
      <c r="F86" s="2" t="s">
        <v>13</v>
      </c>
    </row>
    <row r="87" spans="1:6" ht="15.75" thickBot="1" x14ac:dyDescent="0.3">
      <c r="A87" s="2" t="s">
        <v>123</v>
      </c>
      <c r="B87" s="2" t="s">
        <v>34</v>
      </c>
      <c r="C87" s="2" t="s">
        <v>21</v>
      </c>
      <c r="D87" s="3">
        <v>45252</v>
      </c>
      <c r="E87" s="2">
        <v>2</v>
      </c>
      <c r="F87" s="2" t="s">
        <v>9</v>
      </c>
    </row>
    <row r="88" spans="1:6" ht="15.75" thickBot="1" x14ac:dyDescent="0.3">
      <c r="A88" s="2" t="s">
        <v>124</v>
      </c>
      <c r="B88" s="2" t="s">
        <v>36</v>
      </c>
      <c r="C88" s="2" t="s">
        <v>24</v>
      </c>
      <c r="D88" s="4">
        <v>45296</v>
      </c>
      <c r="E88" s="2">
        <v>3</v>
      </c>
      <c r="F88" s="2" t="s">
        <v>13</v>
      </c>
    </row>
    <row r="89" spans="1:6" ht="15.75" thickBot="1" x14ac:dyDescent="0.3">
      <c r="A89" s="2" t="s">
        <v>125</v>
      </c>
      <c r="B89" s="2" t="s">
        <v>38</v>
      </c>
      <c r="C89" s="2" t="s">
        <v>8</v>
      </c>
      <c r="D89" s="3">
        <v>45309</v>
      </c>
      <c r="E89" s="2">
        <v>1</v>
      </c>
      <c r="F89" s="2" t="s">
        <v>9</v>
      </c>
    </row>
    <row r="90" spans="1:6" ht="15.75" thickBot="1" x14ac:dyDescent="0.3">
      <c r="A90" s="2" t="s">
        <v>126</v>
      </c>
      <c r="B90" s="2" t="s">
        <v>40</v>
      </c>
      <c r="C90" s="2" t="s">
        <v>12</v>
      </c>
      <c r="D90" s="4">
        <v>45347</v>
      </c>
      <c r="E90" s="2">
        <v>4</v>
      </c>
      <c r="F90" s="2" t="s">
        <v>13</v>
      </c>
    </row>
    <row r="91" spans="1:6" ht="15.75" thickBot="1" x14ac:dyDescent="0.3">
      <c r="A91" s="2" t="s">
        <v>127</v>
      </c>
      <c r="B91" s="2" t="s">
        <v>42</v>
      </c>
      <c r="C91" s="2" t="s">
        <v>16</v>
      </c>
      <c r="D91" s="3">
        <v>45366</v>
      </c>
      <c r="E91" s="2">
        <v>2</v>
      </c>
      <c r="F91" s="2" t="s">
        <v>9</v>
      </c>
    </row>
    <row r="92" spans="1:6" ht="15.75" thickBot="1" x14ac:dyDescent="0.3">
      <c r="A92" s="2" t="s">
        <v>128</v>
      </c>
      <c r="B92" s="2" t="s">
        <v>44</v>
      </c>
      <c r="C92" s="2" t="s">
        <v>21</v>
      </c>
      <c r="D92" s="4">
        <v>45410</v>
      </c>
      <c r="E92" s="2">
        <v>1</v>
      </c>
      <c r="F92" s="2" t="s">
        <v>13</v>
      </c>
    </row>
    <row r="93" spans="1:6" ht="15.75" thickBot="1" x14ac:dyDescent="0.3">
      <c r="A93" s="2" t="s">
        <v>129</v>
      </c>
      <c r="B93" s="2" t="s">
        <v>46</v>
      </c>
      <c r="C93" s="2" t="s">
        <v>24</v>
      </c>
      <c r="D93" s="3">
        <v>45442</v>
      </c>
      <c r="E93" s="2">
        <v>6</v>
      </c>
      <c r="F93" s="2" t="s">
        <v>9</v>
      </c>
    </row>
    <row r="94" spans="1:6" ht="15.75" thickBot="1" x14ac:dyDescent="0.3">
      <c r="A94" s="2" t="s">
        <v>130</v>
      </c>
      <c r="B94" s="2" t="s">
        <v>48</v>
      </c>
      <c r="C94" s="2" t="s">
        <v>8</v>
      </c>
      <c r="D94" s="4">
        <v>45463</v>
      </c>
      <c r="E94" s="2">
        <v>1</v>
      </c>
      <c r="F94" s="2" t="s">
        <v>13</v>
      </c>
    </row>
    <row r="95" spans="1:6" ht="15.75" thickBot="1" x14ac:dyDescent="0.3">
      <c r="A95" s="2" t="s">
        <v>131</v>
      </c>
      <c r="B95" s="2" t="s">
        <v>50</v>
      </c>
      <c r="C95" s="2" t="s">
        <v>12</v>
      </c>
      <c r="D95" s="3">
        <v>45501</v>
      </c>
      <c r="E95" s="2">
        <v>3</v>
      </c>
      <c r="F95" s="2" t="s">
        <v>9</v>
      </c>
    </row>
    <row r="96" spans="1:6" ht="15.75" thickBot="1" x14ac:dyDescent="0.3">
      <c r="A96" s="2" t="s">
        <v>132</v>
      </c>
      <c r="B96" s="2" t="s">
        <v>52</v>
      </c>
      <c r="C96" s="2" t="s">
        <v>16</v>
      </c>
      <c r="D96" s="4">
        <v>45545</v>
      </c>
      <c r="E96" s="2">
        <v>2</v>
      </c>
      <c r="F96" s="2" t="s">
        <v>13</v>
      </c>
    </row>
    <row r="97" spans="1:6" ht="15.75" thickBot="1" x14ac:dyDescent="0.3">
      <c r="A97" s="2" t="s">
        <v>133</v>
      </c>
      <c r="B97" s="2" t="s">
        <v>54</v>
      </c>
      <c r="C97" s="2" t="s">
        <v>21</v>
      </c>
      <c r="D97" s="3">
        <v>45557</v>
      </c>
      <c r="E97" s="2">
        <v>1</v>
      </c>
      <c r="F97" s="2" t="s">
        <v>9</v>
      </c>
    </row>
    <row r="98" spans="1:6" ht="15.75" thickBot="1" x14ac:dyDescent="0.3">
      <c r="A98" s="2" t="s">
        <v>134</v>
      </c>
      <c r="B98" s="2" t="s">
        <v>56</v>
      </c>
      <c r="C98" s="2" t="s">
        <v>24</v>
      </c>
      <c r="D98" s="4">
        <v>45601</v>
      </c>
      <c r="E98" s="2">
        <v>5</v>
      </c>
      <c r="F98" s="2" t="s">
        <v>13</v>
      </c>
    </row>
    <row r="99" spans="1:6" ht="15.75" thickBot="1" x14ac:dyDescent="0.3">
      <c r="A99" s="2" t="s">
        <v>135</v>
      </c>
      <c r="B99" s="2" t="s">
        <v>58</v>
      </c>
      <c r="C99" s="2" t="s">
        <v>8</v>
      </c>
      <c r="D99" s="3">
        <v>45608</v>
      </c>
      <c r="E99" s="2">
        <v>1</v>
      </c>
      <c r="F99" s="2" t="s">
        <v>9</v>
      </c>
    </row>
    <row r="100" spans="1:6" ht="15.75" thickBot="1" x14ac:dyDescent="0.3">
      <c r="A100" s="2" t="s">
        <v>136</v>
      </c>
      <c r="B100" s="2" t="s">
        <v>60</v>
      </c>
      <c r="C100" s="2" t="s">
        <v>12</v>
      </c>
      <c r="D100" s="4">
        <v>45648</v>
      </c>
      <c r="E100" s="2">
        <v>4</v>
      </c>
      <c r="F100" s="2" t="s">
        <v>13</v>
      </c>
    </row>
    <row r="101" spans="1:6" ht="15.75" thickBot="1" x14ac:dyDescent="0.3">
      <c r="A101" s="2" t="s">
        <v>137</v>
      </c>
      <c r="B101" s="2" t="s">
        <v>62</v>
      </c>
      <c r="C101" s="2" t="s">
        <v>16</v>
      </c>
      <c r="D101" s="3">
        <v>45672</v>
      </c>
      <c r="E101" s="2">
        <v>2</v>
      </c>
      <c r="F10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ED37-FF2E-4125-A1D7-C93A155CF771}">
  <dimension ref="A1:D6"/>
  <sheetViews>
    <sheetView workbookViewId="0">
      <selection activeCell="F7" sqref="F7"/>
    </sheetView>
  </sheetViews>
  <sheetFormatPr defaultRowHeight="15" x14ac:dyDescent="0.25"/>
  <cols>
    <col min="1" max="4" width="30.7109375" customWidth="1"/>
  </cols>
  <sheetData>
    <row r="1" spans="1:4" ht="15.75" thickBot="1" x14ac:dyDescent="0.3">
      <c r="A1" s="1" t="s">
        <v>2</v>
      </c>
      <c r="B1" s="1" t="s">
        <v>138</v>
      </c>
      <c r="C1" s="1" t="s">
        <v>139</v>
      </c>
      <c r="D1" s="1" t="s">
        <v>140</v>
      </c>
    </row>
    <row r="2" spans="1:4" ht="15.75" thickBot="1" x14ac:dyDescent="0.3">
      <c r="A2" s="2" t="s">
        <v>8</v>
      </c>
      <c r="B2" s="2" t="s">
        <v>141</v>
      </c>
      <c r="C2" s="2">
        <v>12500000</v>
      </c>
      <c r="D2" s="2" t="s">
        <v>142</v>
      </c>
    </row>
    <row r="3" spans="1:4" ht="15.75" thickBot="1" x14ac:dyDescent="0.3">
      <c r="A3" s="2" t="s">
        <v>12</v>
      </c>
      <c r="B3" s="2" t="s">
        <v>143</v>
      </c>
      <c r="C3" s="2">
        <v>150000</v>
      </c>
      <c r="D3" s="2" t="s">
        <v>144</v>
      </c>
    </row>
    <row r="4" spans="1:4" ht="15.75" thickBot="1" x14ac:dyDescent="0.3">
      <c r="A4" s="2" t="s">
        <v>16</v>
      </c>
      <c r="B4" s="2" t="s">
        <v>145</v>
      </c>
      <c r="C4" s="2">
        <v>450000</v>
      </c>
      <c r="D4" s="2" t="s">
        <v>144</v>
      </c>
    </row>
    <row r="5" spans="1:4" ht="15.75" thickBot="1" x14ac:dyDescent="0.3">
      <c r="A5" s="2" t="s">
        <v>21</v>
      </c>
      <c r="B5" s="2" t="s">
        <v>146</v>
      </c>
      <c r="C5" s="2">
        <v>2100000</v>
      </c>
      <c r="D5" s="2" t="s">
        <v>142</v>
      </c>
    </row>
    <row r="6" spans="1:4" ht="15.75" thickBot="1" x14ac:dyDescent="0.3">
      <c r="A6" s="2" t="s">
        <v>24</v>
      </c>
      <c r="B6" s="2" t="s">
        <v>147</v>
      </c>
      <c r="C6" s="2">
        <v>95000</v>
      </c>
      <c r="D6" s="2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D350-B4C5-43F2-A748-210F867504ED}">
  <dimension ref="A1:M103"/>
  <sheetViews>
    <sheetView topLeftCell="F1" workbookViewId="0">
      <selection activeCell="I12" sqref="I12"/>
    </sheetView>
  </sheetViews>
  <sheetFormatPr defaultRowHeight="21.75" x14ac:dyDescent="0.6"/>
  <cols>
    <col min="1" max="6" width="25.7109375" style="5" customWidth="1"/>
    <col min="7" max="7" width="32.5703125" style="5" customWidth="1"/>
    <col min="8" max="10" width="25.7109375" style="5" customWidth="1"/>
    <col min="11" max="11" width="27.5703125" style="5" customWidth="1"/>
    <col min="12" max="12" width="26.5703125" style="5" customWidth="1"/>
    <col min="13" max="13" width="26.28515625" style="5" customWidth="1"/>
    <col min="14" max="16384" width="9.140625" style="5"/>
  </cols>
  <sheetData>
    <row r="1" spans="1:13" ht="21.75" customHeight="1" x14ac:dyDescent="0.6">
      <c r="A1" s="6" t="s">
        <v>153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1.75" customHeight="1" x14ac:dyDescent="0.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6">
      <c r="A3" s="7" t="s">
        <v>0</v>
      </c>
      <c r="B3" s="7" t="s">
        <v>1</v>
      </c>
      <c r="C3" s="7" t="s">
        <v>2</v>
      </c>
      <c r="D3" s="7" t="s">
        <v>138</v>
      </c>
      <c r="E3" s="7" t="s">
        <v>139</v>
      </c>
      <c r="F3" s="7" t="s">
        <v>140</v>
      </c>
      <c r="G3" s="7" t="s">
        <v>3</v>
      </c>
      <c r="H3" s="7" t="s">
        <v>148</v>
      </c>
      <c r="I3" s="7" t="s">
        <v>149</v>
      </c>
      <c r="J3" s="7" t="s">
        <v>5</v>
      </c>
      <c r="K3" s="7" t="s">
        <v>150</v>
      </c>
      <c r="L3" s="7" t="s">
        <v>151</v>
      </c>
      <c r="M3" s="7" t="s">
        <v>152</v>
      </c>
    </row>
    <row r="4" spans="1:13" x14ac:dyDescent="0.6">
      <c r="A4" s="30" t="s">
        <v>6</v>
      </c>
      <c r="B4" s="8" t="str">
        <f>PROPER(TRIM(VLOOKUP(Table1[[#This Row],[ID]],tabel_data_mentah,2,FALSE)))</f>
        <v>Budi Santoso</v>
      </c>
      <c r="C4" s="8" t="str">
        <f>VLOOKUP(Table1[[#This Row],[ID]],tabel_data_mentah,3,FALSE)</f>
        <v>P-01</v>
      </c>
      <c r="D4" s="8" t="str">
        <f>VLOOKUP(Table1[[#This Row],[Kode Produk]],tabel_referensi,2,FALSE)</f>
        <v>Laptop Pro 14</v>
      </c>
      <c r="E4" s="9">
        <f>VLOOKUP(Table1[[#This Row],[Kode Produk]],tabel_referensi,3,FALSE)</f>
        <v>12500000</v>
      </c>
      <c r="F4" s="8" t="str">
        <f>VLOOKUP(Table1[[#This Row],[Kode Produk]],tabel_referensi,4,FALSE)</f>
        <v>Komputer</v>
      </c>
      <c r="G4" s="10">
        <f>INDEX('Data Mentah'!$E$2:$E$101,MATCH(Table1[[#This Row],[Kode Produk]],'Data Mentah'!$C$2:$C$101,0))</f>
        <v>2</v>
      </c>
      <c r="H4" s="8">
        <f>INDEX('Data Mentah'!$E$2:$E$101,MATCH(Table1[[#This Row],[Kode Produk]],'Data Mentah'!$C$2:$C$101,0))</f>
        <v>2</v>
      </c>
      <c r="I4" s="9">
        <f>Table1[[#This Row],[Harga Satuan]]*Table1[[#This Row],[Quantity]]</f>
        <v>25000000</v>
      </c>
      <c r="J4" s="8" t="str">
        <f>VLOOKUP(Table1[[#This Row],[ID]],tabel_data_mentah,6,FALSE)</f>
        <v>Ya</v>
      </c>
      <c r="K4" s="11" t="str">
        <f>IF(AND(Table1[[#This Row],[Member]]="Ya",Table1[[#This Row],[Total Harga]]&gt;1000000),"10%","0%")</f>
        <v>10%</v>
      </c>
      <c r="L4" s="9">
        <f>Table1[[#This Row],[Status Diskon]]*Table1[[#This Row],[Total Harga]]</f>
        <v>2500000</v>
      </c>
      <c r="M4" s="9">
        <f>Table1[[#This Row],[Total Harga]]-Table1[[#This Row],[Nominal Diskon]]</f>
        <v>22500000</v>
      </c>
    </row>
    <row r="5" spans="1:13" x14ac:dyDescent="0.6">
      <c r="A5" s="30" t="s">
        <v>10</v>
      </c>
      <c r="B5" s="8" t="str">
        <f>PROPER(TRIM(VLOOKUP(Table1[[#This Row],[ID]],tabel_data_mentah,2,FALSE)))</f>
        <v>Siti Aminah</v>
      </c>
      <c r="C5" s="8" t="str">
        <f>VLOOKUP(Table1[[#This Row],[ID]],tabel_data_mentah,3,FALSE)</f>
        <v>P-02</v>
      </c>
      <c r="D5" s="8" t="str">
        <f>VLOOKUP(Table1[[#This Row],[Kode Produk]],tabel_referensi,2,FALSE)</f>
        <v>Mouse Wireless</v>
      </c>
      <c r="E5" s="9">
        <f>VLOOKUP(Table1[[#This Row],[Kode Produk]],tabel_referensi,3,FALSE)</f>
        <v>150000</v>
      </c>
      <c r="F5" s="8" t="str">
        <f>VLOOKUP(Table1[[#This Row],[Kode Produk]],tabel_referensi,4,FALSE)</f>
        <v>Aksesoris</v>
      </c>
      <c r="G5" s="10">
        <f>INDEX('Data Mentah'!$D$2:$D$101,MATCH(Table1[[#This Row],[Kode Produk]],'Data Mentah'!$C$2:$C$101,0))</f>
        <v>44972</v>
      </c>
      <c r="H5" s="8">
        <f>INDEX('Data Mentah'!$E$2:$E$101,MATCH(Table1[[#This Row],[Kode Produk]],'Data Mentah'!$C$2:$C$101,0))</f>
        <v>1</v>
      </c>
      <c r="I5" s="9">
        <f>Table1[[#This Row],[Harga Satuan]]*Table1[[#This Row],[Quantity]]</f>
        <v>150000</v>
      </c>
      <c r="J5" s="8" t="str">
        <f>VLOOKUP(Table1[[#This Row],[ID]],tabel_data_mentah,6,FALSE)</f>
        <v>Tidak</v>
      </c>
      <c r="K5" s="11" t="str">
        <f>IF(AND(Table1[[#This Row],[Member]]="Ya",Table1[[#This Row],[Total Harga]]&gt;1000000),"10%","0%")</f>
        <v>0%</v>
      </c>
      <c r="L5" s="9">
        <f>Table1[[#This Row],[Status Diskon]]*Table1[[#This Row],[Total Harga]]</f>
        <v>0</v>
      </c>
      <c r="M5" s="9">
        <f>Table1[[#This Row],[Total Harga]]-Table1[[#This Row],[Nominal Diskon]]</f>
        <v>150000</v>
      </c>
    </row>
    <row r="6" spans="1:13" x14ac:dyDescent="0.6">
      <c r="A6" s="30" t="s">
        <v>14</v>
      </c>
      <c r="B6" s="8" t="str">
        <f>PROPER(TRIM(VLOOKUP(Table1[[#This Row],[ID]],tabel_data_mentah,2,FALSE)))</f>
        <v>Andi Wijaya</v>
      </c>
      <c r="C6" s="8" t="str">
        <f>VLOOKUP(Table1[[#This Row],[ID]],tabel_data_mentah,3,FALSE)</f>
        <v>P-03</v>
      </c>
      <c r="D6" s="8" t="str">
        <f>VLOOKUP(Table1[[#This Row],[Kode Produk]],tabel_referensi,2,FALSE)</f>
        <v>Keyboard Mechanical</v>
      </c>
      <c r="E6" s="9">
        <f>VLOOKUP(Table1[[#This Row],[Kode Produk]],tabel_referensi,3,FALSE)</f>
        <v>450000</v>
      </c>
      <c r="F6" s="8" t="str">
        <f>VLOOKUP(Table1[[#This Row],[Kode Produk]],tabel_referensi,4,FALSE)</f>
        <v>Aksesoris</v>
      </c>
      <c r="G6" s="10">
        <f>INDEX('Data Mentah'!$D$2:$D$101,MATCH(Table1[[#This Row],[Kode Produk]],'Data Mentah'!$C$2:$C$101,0))</f>
        <v>44995</v>
      </c>
      <c r="H6" s="8">
        <f>INDEX('Data Mentah'!$E$2:$E$101,MATCH(Table1[[#This Row],[Kode Produk]],'Data Mentah'!$C$2:$C$101,0))</f>
        <v>3</v>
      </c>
      <c r="I6" s="9">
        <f>Table1[[#This Row],[Harga Satuan]]*Table1[[#This Row],[Quantity]]</f>
        <v>1350000</v>
      </c>
      <c r="J6" s="8" t="str">
        <f>VLOOKUP(Table1[[#This Row],[ID]],tabel_data_mentah,6,FALSE)</f>
        <v>Ya</v>
      </c>
      <c r="K6" s="11" t="str">
        <f>IF(AND(Table1[[#This Row],[Member]]="Ya",Table1[[#This Row],[Total Harga]]&gt;1000000),"10%","0%")</f>
        <v>10%</v>
      </c>
      <c r="L6" s="9">
        <f>Table1[[#This Row],[Status Diskon]]*Table1[[#This Row],[Total Harga]]</f>
        <v>135000</v>
      </c>
      <c r="M6" s="9">
        <f>Table1[[#This Row],[Total Harga]]-Table1[[#This Row],[Nominal Diskon]]</f>
        <v>1215000</v>
      </c>
    </row>
    <row r="7" spans="1:13" x14ac:dyDescent="0.6">
      <c r="A7" s="30" t="s">
        <v>17</v>
      </c>
      <c r="B7" s="8" t="str">
        <f>PROPER(TRIM(VLOOKUP(Table1[[#This Row],[ID]],tabel_data_mentah,2,FALSE)))</f>
        <v>Dewi Lestari</v>
      </c>
      <c r="C7" s="8" t="str">
        <f>VLOOKUP(Table1[[#This Row],[ID]],tabel_data_mentah,3,FALSE)</f>
        <v>P-01</v>
      </c>
      <c r="D7" s="8" t="str">
        <f>VLOOKUP(Table1[[#This Row],[Kode Produk]],tabel_referensi,2,FALSE)</f>
        <v>Laptop Pro 14</v>
      </c>
      <c r="E7" s="9">
        <f>VLOOKUP(Table1[[#This Row],[Kode Produk]],tabel_referensi,3,FALSE)</f>
        <v>12500000</v>
      </c>
      <c r="F7" s="8" t="str">
        <f>VLOOKUP(Table1[[#This Row],[Kode Produk]],tabel_referensi,4,FALSE)</f>
        <v>Komputer</v>
      </c>
      <c r="G7" s="10">
        <f>INDEX('Data Mentah'!$D$2:$D$101,MATCH(Table1[[#This Row],[Kode Produk]],'Data Mentah'!$C$2:$C$101,0))</f>
        <v>44938</v>
      </c>
      <c r="H7" s="8">
        <f>INDEX('Data Mentah'!$E$2:$E$101,MATCH(Table1[[#This Row],[Kode Produk]],'Data Mentah'!$C$2:$C$101,0))</f>
        <v>2</v>
      </c>
      <c r="I7" s="9">
        <f>Table1[[#This Row],[Harga Satuan]]*Table1[[#This Row],[Quantity]]</f>
        <v>25000000</v>
      </c>
      <c r="J7" s="8" t="str">
        <f>VLOOKUP(Table1[[#This Row],[ID]],tabel_data_mentah,6,FALSE)</f>
        <v>Tidak</v>
      </c>
      <c r="K7" s="11" t="str">
        <f>IF(AND(Table1[[#This Row],[Member]]="Ya",Table1[[#This Row],[Total Harga]]&gt;1000000),"10%","0%")</f>
        <v>0%</v>
      </c>
      <c r="L7" s="9">
        <f>Table1[[#This Row],[Status Diskon]]*Table1[[#This Row],[Total Harga]]</f>
        <v>0</v>
      </c>
      <c r="M7" s="9">
        <f>Table1[[#This Row],[Total Harga]]-Table1[[#This Row],[Nominal Diskon]]</f>
        <v>25000000</v>
      </c>
    </row>
    <row r="8" spans="1:13" x14ac:dyDescent="0.6">
      <c r="A8" s="30" t="s">
        <v>19</v>
      </c>
      <c r="B8" s="8" t="str">
        <f>PROPER(TRIM(VLOOKUP(Table1[[#This Row],[ID]],tabel_data_mentah,2,FALSE)))</f>
        <v>Eko Prasetyo</v>
      </c>
      <c r="C8" s="8" t="str">
        <f>VLOOKUP(Table1[[#This Row],[ID]],tabel_data_mentah,3,FALSE)</f>
        <v>P-04</v>
      </c>
      <c r="D8" s="8" t="str">
        <f>VLOOKUP(Table1[[#This Row],[Kode Produk]],tabel_referensi,2,FALSE)</f>
        <v>Monitor 27 Inch</v>
      </c>
      <c r="E8" s="9">
        <f>VLOOKUP(Table1[[#This Row],[Kode Produk]],tabel_referensi,3,FALSE)</f>
        <v>2100000</v>
      </c>
      <c r="F8" s="8" t="str">
        <f>VLOOKUP(Table1[[#This Row],[Kode Produk]],tabel_referensi,4,FALSE)</f>
        <v>Komputer</v>
      </c>
      <c r="G8" s="10">
        <f>INDEX('Data Mentah'!$D$2:$D$101,MATCH(Table1[[#This Row],[Kode Produk]],'Data Mentah'!$C$2:$C$101,0))</f>
        <v>45058</v>
      </c>
      <c r="H8" s="8">
        <f>INDEX('Data Mentah'!$E$2:$E$101,MATCH(Table1[[#This Row],[Kode Produk]],'Data Mentah'!$C$2:$C$101,0))</f>
        <v>2</v>
      </c>
      <c r="I8" s="9">
        <f>Table1[[#This Row],[Harga Satuan]]*Table1[[#This Row],[Quantity]]</f>
        <v>4200000</v>
      </c>
      <c r="J8" s="8" t="str">
        <f>VLOOKUP(Table1[[#This Row],[ID]],tabel_data_mentah,6,FALSE)</f>
        <v>Ya</v>
      </c>
      <c r="K8" s="11" t="str">
        <f>IF(AND(Table1[[#This Row],[Member]]="Ya",Table1[[#This Row],[Total Harga]]&gt;1000000),"10%","0%")</f>
        <v>10%</v>
      </c>
      <c r="L8" s="9">
        <f>Table1[[#This Row],[Status Diskon]]*Table1[[#This Row],[Total Harga]]</f>
        <v>420000</v>
      </c>
      <c r="M8" s="9">
        <f>Table1[[#This Row],[Total Harga]]-Table1[[#This Row],[Nominal Diskon]]</f>
        <v>3780000</v>
      </c>
    </row>
    <row r="9" spans="1:13" x14ac:dyDescent="0.6">
      <c r="A9" s="30" t="s">
        <v>22</v>
      </c>
      <c r="B9" s="8" t="str">
        <f>PROPER(TRIM(VLOOKUP(Table1[[#This Row],[ID]],tabel_data_mentah,2,FALSE)))</f>
        <v>Rina Mr</v>
      </c>
      <c r="C9" s="8" t="str">
        <f>VLOOKUP(Table1[[#This Row],[ID]],tabel_data_mentah,3,FALSE)</f>
        <v>P-05</v>
      </c>
      <c r="D9" s="8" t="str">
        <f>VLOOKUP(Table1[[#This Row],[Kode Produk]],tabel_referensi,2,FALSE)</f>
        <v>Flashdisk 64GB</v>
      </c>
      <c r="E9" s="9">
        <f>VLOOKUP(Table1[[#This Row],[Kode Produk]],tabel_referensi,3,FALSE)</f>
        <v>95000</v>
      </c>
      <c r="F9" s="8" t="str">
        <f>VLOOKUP(Table1[[#This Row],[Kode Produk]],tabel_referensi,4,FALSE)</f>
        <v>Aksesoris</v>
      </c>
      <c r="G9" s="10">
        <f>INDEX('Data Mentah'!$D$2:$D$101,MATCH(Table1[[#This Row],[Kode Produk]],'Data Mentah'!$C$2:$C$101,0))</f>
        <v>45097</v>
      </c>
      <c r="H9" s="8">
        <f>INDEX('Data Mentah'!$E$2:$E$101,MATCH(Table1[[#This Row],[Kode Produk]],'Data Mentah'!$C$2:$C$101,0))</f>
        <v>5</v>
      </c>
      <c r="I9" s="9">
        <f>Table1[[#This Row],[Harga Satuan]]*Table1[[#This Row],[Quantity]]</f>
        <v>475000</v>
      </c>
      <c r="J9" s="8" t="str">
        <f>VLOOKUP(Table1[[#This Row],[ID]],tabel_data_mentah,6,FALSE)</f>
        <v>Tidak</v>
      </c>
      <c r="K9" s="11" t="str">
        <f>IF(AND(Table1[[#This Row],[Member]]="Ya",Table1[[#This Row],[Total Harga]]&gt;1000000),"10%","0%")</f>
        <v>0%</v>
      </c>
      <c r="L9" s="9">
        <f>Table1[[#This Row],[Status Diskon]]*Table1[[#This Row],[Total Harga]]</f>
        <v>0</v>
      </c>
      <c r="M9" s="9">
        <f>Table1[[#This Row],[Total Harga]]-Table1[[#This Row],[Nominal Diskon]]</f>
        <v>475000</v>
      </c>
    </row>
    <row r="10" spans="1:13" x14ac:dyDescent="0.6">
      <c r="A10" s="30" t="s">
        <v>25</v>
      </c>
      <c r="B10" s="8" t="str">
        <f>PROPER(TRIM(VLOOKUP(Table1[[#This Row],[ID]],tabel_data_mentah,2,FALSE)))</f>
        <v>Agus Supriyadi</v>
      </c>
      <c r="C10" s="8" t="str">
        <f>VLOOKUP(Table1[[#This Row],[ID]],tabel_data_mentah,3,FALSE)</f>
        <v>P-02</v>
      </c>
      <c r="D10" s="8" t="str">
        <f>VLOOKUP(Table1[[#This Row],[Kode Produk]],tabel_referensi,2,FALSE)</f>
        <v>Mouse Wireless</v>
      </c>
      <c r="E10" s="9">
        <f>VLOOKUP(Table1[[#This Row],[Kode Produk]],tabel_referensi,3,FALSE)</f>
        <v>150000</v>
      </c>
      <c r="F10" s="8" t="str">
        <f>VLOOKUP(Table1[[#This Row],[Kode Produk]],tabel_referensi,4,FALSE)</f>
        <v>Aksesoris</v>
      </c>
      <c r="G10" s="10">
        <f>INDEX('Data Mentah'!$D$2:$D$101,MATCH(Table1[[#This Row],[Kode Produk]],'Data Mentah'!$C$2:$C$101,0))</f>
        <v>44972</v>
      </c>
      <c r="H10" s="8">
        <f>INDEX('Data Mentah'!$E$2:$E$101,MATCH(Table1[[#This Row],[Kode Produk]],'Data Mentah'!$C$2:$C$101,0))</f>
        <v>1</v>
      </c>
      <c r="I10" s="9">
        <f>Table1[[#This Row],[Harga Satuan]]*Table1[[#This Row],[Quantity]]</f>
        <v>150000</v>
      </c>
      <c r="J10" s="8" t="str">
        <f>VLOOKUP(Table1[[#This Row],[ID]],tabel_data_mentah,6,FALSE)</f>
        <v>Ya</v>
      </c>
      <c r="K10" s="11" t="str">
        <f>IF(AND(Table1[[#This Row],[Member]]="Ya",Table1[[#This Row],[Total Harga]]&gt;1000000),"10%","0%")</f>
        <v>0%</v>
      </c>
      <c r="L10" s="9">
        <f>Table1[[#This Row],[Status Diskon]]*Table1[[#This Row],[Total Harga]]</f>
        <v>0</v>
      </c>
      <c r="M10" s="9">
        <f>Table1[[#This Row],[Total Harga]]-Table1[[#This Row],[Nominal Diskon]]</f>
        <v>150000</v>
      </c>
    </row>
    <row r="11" spans="1:13" x14ac:dyDescent="0.6">
      <c r="A11" s="30" t="s">
        <v>27</v>
      </c>
      <c r="B11" s="8" t="str">
        <f>PROPER(TRIM(VLOOKUP(Table1[[#This Row],[ID]],tabel_data_mentah,2,FALSE)))</f>
        <v>Nina Herlina</v>
      </c>
      <c r="C11" s="8" t="str">
        <f>VLOOKUP(Table1[[#This Row],[ID]],tabel_data_mentah,3,FALSE)</f>
        <v>P-03</v>
      </c>
      <c r="D11" s="8" t="str">
        <f>VLOOKUP(Table1[[#This Row],[Kode Produk]],tabel_referensi,2,FALSE)</f>
        <v>Keyboard Mechanical</v>
      </c>
      <c r="E11" s="9">
        <f>VLOOKUP(Table1[[#This Row],[Kode Produk]],tabel_referensi,3,FALSE)</f>
        <v>450000</v>
      </c>
      <c r="F11" s="8" t="str">
        <f>VLOOKUP(Table1[[#This Row],[Kode Produk]],tabel_referensi,4,FALSE)</f>
        <v>Aksesoris</v>
      </c>
      <c r="G11" s="10">
        <f>INDEX('Data Mentah'!$D$2:$D$101,MATCH(Table1[[#This Row],[Kode Produk]],'Data Mentah'!$C$2:$C$101,0))</f>
        <v>44995</v>
      </c>
      <c r="H11" s="8">
        <f>INDEX('Data Mentah'!$E$2:$E$101,MATCH(Table1[[#This Row],[Kode Produk]],'Data Mentah'!$C$2:$C$101,0))</f>
        <v>3</v>
      </c>
      <c r="I11" s="9">
        <f>Table1[[#This Row],[Harga Satuan]]*Table1[[#This Row],[Quantity]]</f>
        <v>1350000</v>
      </c>
      <c r="J11" s="8" t="str">
        <f>VLOOKUP(Table1[[#This Row],[ID]],tabel_data_mentah,6,FALSE)</f>
        <v>Tidak</v>
      </c>
      <c r="K11" s="11" t="str">
        <f>IF(AND(Table1[[#This Row],[Member]]="Ya",Table1[[#This Row],[Total Harga]]&gt;1000000),"10%","0%")</f>
        <v>0%</v>
      </c>
      <c r="L11" s="9">
        <f>Table1[[#This Row],[Status Diskon]]*Table1[[#This Row],[Total Harga]]</f>
        <v>0</v>
      </c>
      <c r="M11" s="9">
        <f>Table1[[#This Row],[Total Harga]]-Table1[[#This Row],[Nominal Diskon]]</f>
        <v>1350000</v>
      </c>
    </row>
    <row r="12" spans="1:13" x14ac:dyDescent="0.6">
      <c r="A12" s="30" t="s">
        <v>29</v>
      </c>
      <c r="B12" s="8" t="str">
        <f>PROPER(TRIM(VLOOKUP(Table1[[#This Row],[ID]],tabel_data_mentah,2,FALSE)))</f>
        <v>Doni Salmanan</v>
      </c>
      <c r="C12" s="8" t="str">
        <f>VLOOKUP(Table1[[#This Row],[ID]],tabel_data_mentah,3,FALSE)</f>
        <v>P-04</v>
      </c>
      <c r="D12" s="8" t="str">
        <f>VLOOKUP(Table1[[#This Row],[Kode Produk]],tabel_referensi,2,FALSE)</f>
        <v>Monitor 27 Inch</v>
      </c>
      <c r="E12" s="9">
        <f>VLOOKUP(Table1[[#This Row],[Kode Produk]],tabel_referensi,3,FALSE)</f>
        <v>2100000</v>
      </c>
      <c r="F12" s="8" t="str">
        <f>VLOOKUP(Table1[[#This Row],[Kode Produk]],tabel_referensi,4,FALSE)</f>
        <v>Komputer</v>
      </c>
      <c r="G12" s="10">
        <f>INDEX('Data Mentah'!$D$2:$D$101,MATCH(Table1[[#This Row],[Kode Produk]],'Data Mentah'!$C$2:$C$101,0))</f>
        <v>45058</v>
      </c>
      <c r="H12" s="8">
        <f>INDEX('Data Mentah'!$E$2:$E$101,MATCH(Table1[[#This Row],[Kode Produk]],'Data Mentah'!$C$2:$C$101,0))</f>
        <v>2</v>
      </c>
      <c r="I12" s="9">
        <f>Table1[[#This Row],[Harga Satuan]]*Table1[[#This Row],[Quantity]]</f>
        <v>4200000</v>
      </c>
      <c r="J12" s="8" t="str">
        <f>VLOOKUP(Table1[[#This Row],[ID]],tabel_data_mentah,6,FALSE)</f>
        <v>Ya</v>
      </c>
      <c r="K12" s="11" t="str">
        <f>IF(AND(Table1[[#This Row],[Member]]="Ya",Table1[[#This Row],[Total Harga]]&gt;1000000),"10%","0%")</f>
        <v>10%</v>
      </c>
      <c r="L12" s="9">
        <f>Table1[[#This Row],[Status Diskon]]*Table1[[#This Row],[Total Harga]]</f>
        <v>420000</v>
      </c>
      <c r="M12" s="9">
        <f>Table1[[#This Row],[Total Harga]]-Table1[[#This Row],[Nominal Diskon]]</f>
        <v>3780000</v>
      </c>
    </row>
    <row r="13" spans="1:13" x14ac:dyDescent="0.6">
      <c r="A13" s="30" t="s">
        <v>31</v>
      </c>
      <c r="B13" s="8" t="str">
        <f>PROPER(TRIM(VLOOKUP(Table1[[#This Row],[ID]],tabel_data_mentah,2,FALSE)))</f>
        <v>Fajar Nugraha</v>
      </c>
      <c r="C13" s="8" t="str">
        <f>VLOOKUP(Table1[[#This Row],[ID]],tabel_data_mentah,3,FALSE)</f>
        <v>P-05</v>
      </c>
      <c r="D13" s="8" t="str">
        <f>VLOOKUP(Table1[[#This Row],[Kode Produk]],tabel_referensi,2,FALSE)</f>
        <v>Flashdisk 64GB</v>
      </c>
      <c r="E13" s="9">
        <f>VLOOKUP(Table1[[#This Row],[Kode Produk]],tabel_referensi,3,FALSE)</f>
        <v>95000</v>
      </c>
      <c r="F13" s="8" t="str">
        <f>VLOOKUP(Table1[[#This Row],[Kode Produk]],tabel_referensi,4,FALSE)</f>
        <v>Aksesoris</v>
      </c>
      <c r="G13" s="10">
        <f>INDEX('Data Mentah'!$D$2:$D$101,MATCH(Table1[[#This Row],[Kode Produk]],'Data Mentah'!$C$2:$C$101,0))</f>
        <v>45097</v>
      </c>
      <c r="H13" s="8">
        <f>INDEX('Data Mentah'!$E$2:$E$101,MATCH(Table1[[#This Row],[Kode Produk]],'Data Mentah'!$C$2:$C$101,0))</f>
        <v>5</v>
      </c>
      <c r="I13" s="9">
        <f>Table1[[#This Row],[Harga Satuan]]*Table1[[#This Row],[Quantity]]</f>
        <v>475000</v>
      </c>
      <c r="J13" s="8" t="str">
        <f>VLOOKUP(Table1[[#This Row],[ID]],tabel_data_mentah,6,FALSE)</f>
        <v>Tidak</v>
      </c>
      <c r="K13" s="11" t="str">
        <f>IF(AND(Table1[[#This Row],[Member]]="Ya",Table1[[#This Row],[Total Harga]]&gt;1000000),"10%","0%")</f>
        <v>0%</v>
      </c>
      <c r="L13" s="9">
        <f>Table1[[#This Row],[Status Diskon]]*Table1[[#This Row],[Total Harga]]</f>
        <v>0</v>
      </c>
      <c r="M13" s="9">
        <f>Table1[[#This Row],[Total Harga]]-Table1[[#This Row],[Nominal Diskon]]</f>
        <v>475000</v>
      </c>
    </row>
    <row r="14" spans="1:13" x14ac:dyDescent="0.6">
      <c r="A14" s="30" t="s">
        <v>33</v>
      </c>
      <c r="B14" s="8" t="str">
        <f>PROPER(TRIM(VLOOKUP(Table1[[#This Row],[ID]],tabel_data_mentah,2,FALSE)))</f>
        <v>Gina Sonia</v>
      </c>
      <c r="C14" s="8" t="str">
        <f>VLOOKUP(Table1[[#This Row],[ID]],tabel_data_mentah,3,FALSE)</f>
        <v>P-01</v>
      </c>
      <c r="D14" s="8" t="str">
        <f>VLOOKUP(Table1[[#This Row],[Kode Produk]],tabel_referensi,2,FALSE)</f>
        <v>Laptop Pro 14</v>
      </c>
      <c r="E14" s="9">
        <f>VLOOKUP(Table1[[#This Row],[Kode Produk]],tabel_referensi,3,FALSE)</f>
        <v>12500000</v>
      </c>
      <c r="F14" s="8" t="str">
        <f>VLOOKUP(Table1[[#This Row],[Kode Produk]],tabel_referensi,4,FALSE)</f>
        <v>Komputer</v>
      </c>
      <c r="G14" s="10">
        <f>INDEX('Data Mentah'!$D$2:$D$101,MATCH(Table1[[#This Row],[Kode Produk]],'Data Mentah'!$C$2:$C$101,0))</f>
        <v>44938</v>
      </c>
      <c r="H14" s="8">
        <f>INDEX('Data Mentah'!$E$2:$E$101,MATCH(Table1[[#This Row],[Kode Produk]],'Data Mentah'!$C$2:$C$101,0))</f>
        <v>2</v>
      </c>
      <c r="I14" s="9">
        <f>Table1[[#This Row],[Harga Satuan]]*Table1[[#This Row],[Quantity]]</f>
        <v>25000000</v>
      </c>
      <c r="J14" s="8" t="str">
        <f>VLOOKUP(Table1[[#This Row],[ID]],tabel_data_mentah,6,FALSE)</f>
        <v>Ya</v>
      </c>
      <c r="K14" s="11" t="str">
        <f>IF(AND(Table1[[#This Row],[Member]]="Ya",Table1[[#This Row],[Total Harga]]&gt;1000000),"10%","0%")</f>
        <v>10%</v>
      </c>
      <c r="L14" s="9">
        <f>Table1[[#This Row],[Status Diskon]]*Table1[[#This Row],[Total Harga]]</f>
        <v>2500000</v>
      </c>
      <c r="M14" s="9">
        <f>Table1[[#This Row],[Total Harga]]-Table1[[#This Row],[Nominal Diskon]]</f>
        <v>22500000</v>
      </c>
    </row>
    <row r="15" spans="1:13" x14ac:dyDescent="0.6">
      <c r="A15" s="30" t="s">
        <v>35</v>
      </c>
      <c r="B15" s="8" t="str">
        <f>PROPER(TRIM(VLOOKUP(Table1[[#This Row],[ID]],tabel_data_mentah,2,FALSE)))</f>
        <v>Hendra Gunawan</v>
      </c>
      <c r="C15" s="8" t="str">
        <f>VLOOKUP(Table1[[#This Row],[ID]],tabel_data_mentah,3,FALSE)</f>
        <v>P-02</v>
      </c>
      <c r="D15" s="8" t="str">
        <f>VLOOKUP(Table1[[#This Row],[Kode Produk]],tabel_referensi,2,FALSE)</f>
        <v>Mouse Wireless</v>
      </c>
      <c r="E15" s="9">
        <f>VLOOKUP(Table1[[#This Row],[Kode Produk]],tabel_referensi,3,FALSE)</f>
        <v>150000</v>
      </c>
      <c r="F15" s="8" t="str">
        <f>VLOOKUP(Table1[[#This Row],[Kode Produk]],tabel_referensi,4,FALSE)</f>
        <v>Aksesoris</v>
      </c>
      <c r="G15" s="10">
        <f>INDEX('Data Mentah'!$D$2:$D$101,MATCH(Table1[[#This Row],[Kode Produk]],'Data Mentah'!$C$2:$C$101,0))</f>
        <v>44972</v>
      </c>
      <c r="H15" s="8">
        <f>INDEX('Data Mentah'!$E$2:$E$101,MATCH(Table1[[#This Row],[Kode Produk]],'Data Mentah'!$C$2:$C$101,0))</f>
        <v>1</v>
      </c>
      <c r="I15" s="9">
        <f>Table1[[#This Row],[Harga Satuan]]*Table1[[#This Row],[Quantity]]</f>
        <v>150000</v>
      </c>
      <c r="J15" s="8" t="str">
        <f>VLOOKUP(Table1[[#This Row],[ID]],tabel_data_mentah,6,FALSE)</f>
        <v>Tidak</v>
      </c>
      <c r="K15" s="11" t="str">
        <f>IF(AND(Table1[[#This Row],[Member]]="Ya",Table1[[#This Row],[Total Harga]]&gt;1000000),"10%","0%")</f>
        <v>0%</v>
      </c>
      <c r="L15" s="9">
        <f>Table1[[#This Row],[Status Diskon]]*Table1[[#This Row],[Total Harga]]</f>
        <v>0</v>
      </c>
      <c r="M15" s="9">
        <f>Table1[[#This Row],[Total Harga]]-Table1[[#This Row],[Nominal Diskon]]</f>
        <v>150000</v>
      </c>
    </row>
    <row r="16" spans="1:13" x14ac:dyDescent="0.6">
      <c r="A16" s="30" t="s">
        <v>37</v>
      </c>
      <c r="B16" s="8" t="str">
        <f>PROPER(TRIM(VLOOKUP(Table1[[#This Row],[ID]],tabel_data_mentah,2,FALSE)))</f>
        <v>Indra Bekti</v>
      </c>
      <c r="C16" s="8" t="str">
        <f>VLOOKUP(Table1[[#This Row],[ID]],tabel_data_mentah,3,FALSE)</f>
        <v>P-03</v>
      </c>
      <c r="D16" s="8" t="str">
        <f>VLOOKUP(Table1[[#This Row],[Kode Produk]],tabel_referensi,2,FALSE)</f>
        <v>Keyboard Mechanical</v>
      </c>
      <c r="E16" s="9">
        <f>VLOOKUP(Table1[[#This Row],[Kode Produk]],tabel_referensi,3,FALSE)</f>
        <v>450000</v>
      </c>
      <c r="F16" s="8" t="str">
        <f>VLOOKUP(Table1[[#This Row],[Kode Produk]],tabel_referensi,4,FALSE)</f>
        <v>Aksesoris</v>
      </c>
      <c r="G16" s="10">
        <f>INDEX('Data Mentah'!$D$2:$D$101,MATCH(Table1[[#This Row],[Kode Produk]],'Data Mentah'!$C$2:$C$101,0))</f>
        <v>44995</v>
      </c>
      <c r="H16" s="8">
        <f>INDEX('Data Mentah'!$E$2:$E$101,MATCH(Table1[[#This Row],[Kode Produk]],'Data Mentah'!$C$2:$C$101,0))</f>
        <v>3</v>
      </c>
      <c r="I16" s="9">
        <f>Table1[[#This Row],[Harga Satuan]]*Table1[[#This Row],[Quantity]]</f>
        <v>1350000</v>
      </c>
      <c r="J16" s="8" t="str">
        <f>VLOOKUP(Table1[[#This Row],[ID]],tabel_data_mentah,6,FALSE)</f>
        <v>Ya</v>
      </c>
      <c r="K16" s="11" t="str">
        <f>IF(AND(Table1[[#This Row],[Member]]="Ya",Table1[[#This Row],[Total Harga]]&gt;1000000),"10%","0%")</f>
        <v>10%</v>
      </c>
      <c r="L16" s="9">
        <f>Table1[[#This Row],[Status Diskon]]*Table1[[#This Row],[Total Harga]]</f>
        <v>135000</v>
      </c>
      <c r="M16" s="9">
        <f>Table1[[#This Row],[Total Harga]]-Table1[[#This Row],[Nominal Diskon]]</f>
        <v>1215000</v>
      </c>
    </row>
    <row r="17" spans="1:13" x14ac:dyDescent="0.6">
      <c r="A17" s="30" t="s">
        <v>39</v>
      </c>
      <c r="B17" s="8" t="str">
        <f>PROPER(TRIM(VLOOKUP(Table1[[#This Row],[ID]],tabel_data_mentah,2,FALSE)))</f>
        <v>Joko Widodo</v>
      </c>
      <c r="C17" s="8" t="str">
        <f>VLOOKUP(Table1[[#This Row],[ID]],tabel_data_mentah,3,FALSE)</f>
        <v>P-04</v>
      </c>
      <c r="D17" s="8" t="str">
        <f>VLOOKUP(Table1[[#This Row],[Kode Produk]],tabel_referensi,2,FALSE)</f>
        <v>Monitor 27 Inch</v>
      </c>
      <c r="E17" s="9">
        <f>VLOOKUP(Table1[[#This Row],[Kode Produk]],tabel_referensi,3,FALSE)</f>
        <v>2100000</v>
      </c>
      <c r="F17" s="8" t="str">
        <f>VLOOKUP(Table1[[#This Row],[Kode Produk]],tabel_referensi,4,FALSE)</f>
        <v>Komputer</v>
      </c>
      <c r="G17" s="10">
        <f>INDEX('Data Mentah'!$D$2:$D$101,MATCH(Table1[[#This Row],[Kode Produk]],'Data Mentah'!$C$2:$C$101,0))</f>
        <v>45058</v>
      </c>
      <c r="H17" s="8">
        <f>INDEX('Data Mentah'!$E$2:$E$101,MATCH(Table1[[#This Row],[Kode Produk]],'Data Mentah'!$C$2:$C$101,0))</f>
        <v>2</v>
      </c>
      <c r="I17" s="9">
        <f>Table1[[#This Row],[Harga Satuan]]*Table1[[#This Row],[Quantity]]</f>
        <v>4200000</v>
      </c>
      <c r="J17" s="8" t="str">
        <f>VLOOKUP(Table1[[#This Row],[ID]],tabel_data_mentah,6,FALSE)</f>
        <v>Tidak</v>
      </c>
      <c r="K17" s="11" t="str">
        <f>IF(AND(Table1[[#This Row],[Member]]="Ya",Table1[[#This Row],[Total Harga]]&gt;1000000),"10%","0%")</f>
        <v>0%</v>
      </c>
      <c r="L17" s="9">
        <f>Table1[[#This Row],[Status Diskon]]*Table1[[#This Row],[Total Harga]]</f>
        <v>0</v>
      </c>
      <c r="M17" s="9">
        <f>Table1[[#This Row],[Total Harga]]-Table1[[#This Row],[Nominal Diskon]]</f>
        <v>4200000</v>
      </c>
    </row>
    <row r="18" spans="1:13" x14ac:dyDescent="0.6">
      <c r="A18" s="30" t="s">
        <v>41</v>
      </c>
      <c r="B18" s="8" t="str">
        <f>PROPER(TRIM(VLOOKUP(Table1[[#This Row],[ID]],tabel_data_mentah,2,FALSE)))</f>
        <v>Kiki Amalia</v>
      </c>
      <c r="C18" s="8" t="str">
        <f>VLOOKUP(Table1[[#This Row],[ID]],tabel_data_mentah,3,FALSE)</f>
        <v>P-05</v>
      </c>
      <c r="D18" s="8" t="str">
        <f>VLOOKUP(Table1[[#This Row],[Kode Produk]],tabel_referensi,2,FALSE)</f>
        <v>Flashdisk 64GB</v>
      </c>
      <c r="E18" s="9">
        <f>VLOOKUP(Table1[[#This Row],[Kode Produk]],tabel_referensi,3,FALSE)</f>
        <v>95000</v>
      </c>
      <c r="F18" s="8" t="str">
        <f>VLOOKUP(Table1[[#This Row],[Kode Produk]],tabel_referensi,4,FALSE)</f>
        <v>Aksesoris</v>
      </c>
      <c r="G18" s="10">
        <f>INDEX('Data Mentah'!$D$2:$D$101,MATCH(Table1[[#This Row],[Kode Produk]],'Data Mentah'!$C$2:$C$101,0))</f>
        <v>45097</v>
      </c>
      <c r="H18" s="8">
        <f>INDEX('Data Mentah'!$E$2:$E$101,MATCH(Table1[[#This Row],[Kode Produk]],'Data Mentah'!$C$2:$C$101,0))</f>
        <v>5</v>
      </c>
      <c r="I18" s="9">
        <f>Table1[[#This Row],[Harga Satuan]]*Table1[[#This Row],[Quantity]]</f>
        <v>475000</v>
      </c>
      <c r="J18" s="8" t="str">
        <f>VLOOKUP(Table1[[#This Row],[ID]],tabel_data_mentah,6,FALSE)</f>
        <v>Ya</v>
      </c>
      <c r="K18" s="11" t="str">
        <f>IF(AND(Table1[[#This Row],[Member]]="Ya",Table1[[#This Row],[Total Harga]]&gt;1000000),"10%","0%")</f>
        <v>0%</v>
      </c>
      <c r="L18" s="9">
        <f>Table1[[#This Row],[Status Diskon]]*Table1[[#This Row],[Total Harga]]</f>
        <v>0</v>
      </c>
      <c r="M18" s="9">
        <f>Table1[[#This Row],[Total Harga]]-Table1[[#This Row],[Nominal Diskon]]</f>
        <v>475000</v>
      </c>
    </row>
    <row r="19" spans="1:13" x14ac:dyDescent="0.6">
      <c r="A19" s="30" t="s">
        <v>43</v>
      </c>
      <c r="B19" s="8" t="str">
        <f>PROPER(TRIM(VLOOKUP(Table1[[#This Row],[ID]],tabel_data_mentah,2,FALSE)))</f>
        <v>Lina Marlina</v>
      </c>
      <c r="C19" s="8" t="str">
        <f>VLOOKUP(Table1[[#This Row],[ID]],tabel_data_mentah,3,FALSE)</f>
        <v>P-01</v>
      </c>
      <c r="D19" s="8" t="str">
        <f>VLOOKUP(Table1[[#This Row],[Kode Produk]],tabel_referensi,2,FALSE)</f>
        <v>Laptop Pro 14</v>
      </c>
      <c r="E19" s="9">
        <f>VLOOKUP(Table1[[#This Row],[Kode Produk]],tabel_referensi,3,FALSE)</f>
        <v>12500000</v>
      </c>
      <c r="F19" s="8" t="str">
        <f>VLOOKUP(Table1[[#This Row],[Kode Produk]],tabel_referensi,4,FALSE)</f>
        <v>Komputer</v>
      </c>
      <c r="G19" s="10">
        <f>INDEX('Data Mentah'!$D$2:$D$101,MATCH(Table1[[#This Row],[Kode Produk]],'Data Mentah'!$C$2:$C$101,0))</f>
        <v>44938</v>
      </c>
      <c r="H19" s="8">
        <f>INDEX('Data Mentah'!$E$2:$E$101,MATCH(Table1[[#This Row],[Kode Produk]],'Data Mentah'!$C$2:$C$101,0))</f>
        <v>2</v>
      </c>
      <c r="I19" s="9">
        <f>Table1[[#This Row],[Harga Satuan]]*Table1[[#This Row],[Quantity]]</f>
        <v>25000000</v>
      </c>
      <c r="J19" s="8" t="str">
        <f>VLOOKUP(Table1[[#This Row],[ID]],tabel_data_mentah,6,FALSE)</f>
        <v>Tidak</v>
      </c>
      <c r="K19" s="11" t="str">
        <f>IF(AND(Table1[[#This Row],[Member]]="Ya",Table1[[#This Row],[Total Harga]]&gt;1000000),"10%","0%")</f>
        <v>0%</v>
      </c>
      <c r="L19" s="9">
        <f>Table1[[#This Row],[Status Diskon]]*Table1[[#This Row],[Total Harga]]</f>
        <v>0</v>
      </c>
      <c r="M19" s="9">
        <f>Table1[[#This Row],[Total Harga]]-Table1[[#This Row],[Nominal Diskon]]</f>
        <v>25000000</v>
      </c>
    </row>
    <row r="20" spans="1:13" x14ac:dyDescent="0.6">
      <c r="A20" s="30" t="s">
        <v>45</v>
      </c>
      <c r="B20" s="8" t="str">
        <f>PROPER(TRIM(VLOOKUP(Table1[[#This Row],[ID]],tabel_data_mentah,2,FALSE)))</f>
        <v>Maman Abdurrahman</v>
      </c>
      <c r="C20" s="8" t="str">
        <f>VLOOKUP(Table1[[#This Row],[ID]],tabel_data_mentah,3,FALSE)</f>
        <v>P-02</v>
      </c>
      <c r="D20" s="8" t="str">
        <f>VLOOKUP(Table1[[#This Row],[Kode Produk]],tabel_referensi,2,FALSE)</f>
        <v>Mouse Wireless</v>
      </c>
      <c r="E20" s="9">
        <f>VLOOKUP(Table1[[#This Row],[Kode Produk]],tabel_referensi,3,FALSE)</f>
        <v>150000</v>
      </c>
      <c r="F20" s="8" t="str">
        <f>VLOOKUP(Table1[[#This Row],[Kode Produk]],tabel_referensi,4,FALSE)</f>
        <v>Aksesoris</v>
      </c>
      <c r="G20" s="10">
        <f>INDEX('Data Mentah'!$D$2:$D$101,MATCH(Table1[[#This Row],[Kode Produk]],'Data Mentah'!$C$2:$C$101,0))</f>
        <v>44972</v>
      </c>
      <c r="H20" s="8">
        <f>INDEX('Data Mentah'!$E$2:$E$101,MATCH(Table1[[#This Row],[Kode Produk]],'Data Mentah'!$C$2:$C$101,0))</f>
        <v>1</v>
      </c>
      <c r="I20" s="9">
        <f>Table1[[#This Row],[Harga Satuan]]*Table1[[#This Row],[Quantity]]</f>
        <v>150000</v>
      </c>
      <c r="J20" s="8" t="str">
        <f>VLOOKUP(Table1[[#This Row],[ID]],tabel_data_mentah,6,FALSE)</f>
        <v>Ya</v>
      </c>
      <c r="K20" s="11" t="str">
        <f>IF(AND(Table1[[#This Row],[Member]]="Ya",Table1[[#This Row],[Total Harga]]&gt;1000000),"10%","0%")</f>
        <v>0%</v>
      </c>
      <c r="L20" s="9">
        <f>Table1[[#This Row],[Status Diskon]]*Table1[[#This Row],[Total Harga]]</f>
        <v>0</v>
      </c>
      <c r="M20" s="9">
        <f>Table1[[#This Row],[Total Harga]]-Table1[[#This Row],[Nominal Diskon]]</f>
        <v>150000</v>
      </c>
    </row>
    <row r="21" spans="1:13" x14ac:dyDescent="0.6">
      <c r="A21" s="30" t="s">
        <v>47</v>
      </c>
      <c r="B21" s="8" t="str">
        <f>PROPER(TRIM(VLOOKUP(Table1[[#This Row],[ID]],tabel_data_mentah,2,FALSE)))</f>
        <v>Nanda Saputra</v>
      </c>
      <c r="C21" s="8" t="str">
        <f>VLOOKUP(Table1[[#This Row],[ID]],tabel_data_mentah,3,FALSE)</f>
        <v>P-03</v>
      </c>
      <c r="D21" s="8" t="str">
        <f>VLOOKUP(Table1[[#This Row],[Kode Produk]],tabel_referensi,2,FALSE)</f>
        <v>Keyboard Mechanical</v>
      </c>
      <c r="E21" s="9">
        <f>VLOOKUP(Table1[[#This Row],[Kode Produk]],tabel_referensi,3,FALSE)</f>
        <v>450000</v>
      </c>
      <c r="F21" s="8" t="str">
        <f>VLOOKUP(Table1[[#This Row],[Kode Produk]],tabel_referensi,4,FALSE)</f>
        <v>Aksesoris</v>
      </c>
      <c r="G21" s="10">
        <f>INDEX('Data Mentah'!$D$2:$D$101,MATCH(Table1[[#This Row],[Kode Produk]],'Data Mentah'!$C$2:$C$101,0))</f>
        <v>44995</v>
      </c>
      <c r="H21" s="8">
        <f>INDEX('Data Mentah'!$E$2:$E$101,MATCH(Table1[[#This Row],[Kode Produk]],'Data Mentah'!$C$2:$C$101,0))</f>
        <v>3</v>
      </c>
      <c r="I21" s="9">
        <f>Table1[[#This Row],[Harga Satuan]]*Table1[[#This Row],[Quantity]]</f>
        <v>1350000</v>
      </c>
      <c r="J21" s="8" t="str">
        <f>VLOOKUP(Table1[[#This Row],[ID]],tabel_data_mentah,6,FALSE)</f>
        <v>Tidak</v>
      </c>
      <c r="K21" s="11" t="str">
        <f>IF(AND(Table1[[#This Row],[Member]]="Ya",Table1[[#This Row],[Total Harga]]&gt;1000000),"10%","0%")</f>
        <v>0%</v>
      </c>
      <c r="L21" s="9">
        <f>Table1[[#This Row],[Status Diskon]]*Table1[[#This Row],[Total Harga]]</f>
        <v>0</v>
      </c>
      <c r="M21" s="9">
        <f>Table1[[#This Row],[Total Harga]]-Table1[[#This Row],[Nominal Diskon]]</f>
        <v>1350000</v>
      </c>
    </row>
    <row r="22" spans="1:13" x14ac:dyDescent="0.6">
      <c r="A22" s="30" t="s">
        <v>49</v>
      </c>
      <c r="B22" s="8" t="str">
        <f>PROPER(TRIM(VLOOKUP(Table1[[#This Row],[ID]],tabel_data_mentah,2,FALSE)))</f>
        <v>Oki Setiana</v>
      </c>
      <c r="C22" s="8" t="str">
        <f>VLOOKUP(Table1[[#This Row],[ID]],tabel_data_mentah,3,FALSE)</f>
        <v>P-04</v>
      </c>
      <c r="D22" s="8" t="str">
        <f>VLOOKUP(Table1[[#This Row],[Kode Produk]],tabel_referensi,2,FALSE)</f>
        <v>Monitor 27 Inch</v>
      </c>
      <c r="E22" s="9">
        <f>VLOOKUP(Table1[[#This Row],[Kode Produk]],tabel_referensi,3,FALSE)</f>
        <v>2100000</v>
      </c>
      <c r="F22" s="8" t="str">
        <f>VLOOKUP(Table1[[#This Row],[Kode Produk]],tabel_referensi,4,FALSE)</f>
        <v>Komputer</v>
      </c>
      <c r="G22" s="10">
        <f>INDEX('Data Mentah'!$D$2:$D$101,MATCH(Table1[[#This Row],[Kode Produk]],'Data Mentah'!$C$2:$C$101,0))</f>
        <v>45058</v>
      </c>
      <c r="H22" s="8">
        <f>INDEX('Data Mentah'!$E$2:$E$101,MATCH(Table1[[#This Row],[Kode Produk]],'Data Mentah'!$C$2:$C$101,0))</f>
        <v>2</v>
      </c>
      <c r="I22" s="9">
        <f>Table1[[#This Row],[Harga Satuan]]*Table1[[#This Row],[Quantity]]</f>
        <v>4200000</v>
      </c>
      <c r="J22" s="8" t="str">
        <f>VLOOKUP(Table1[[#This Row],[ID]],tabel_data_mentah,6,FALSE)</f>
        <v>Ya</v>
      </c>
      <c r="K22" s="11" t="str">
        <f>IF(AND(Table1[[#This Row],[Member]]="Ya",Table1[[#This Row],[Total Harga]]&gt;1000000),"10%","0%")</f>
        <v>10%</v>
      </c>
      <c r="L22" s="9">
        <f>Table1[[#This Row],[Status Diskon]]*Table1[[#This Row],[Total Harga]]</f>
        <v>420000</v>
      </c>
      <c r="M22" s="9">
        <f>Table1[[#This Row],[Total Harga]]-Table1[[#This Row],[Nominal Diskon]]</f>
        <v>3780000</v>
      </c>
    </row>
    <row r="23" spans="1:13" x14ac:dyDescent="0.6">
      <c r="A23" s="30" t="s">
        <v>51</v>
      </c>
      <c r="B23" s="8" t="str">
        <f>PROPER(TRIM(VLOOKUP(Table1[[#This Row],[ID]],tabel_data_mentah,2,FALSE)))</f>
        <v>Putri Titian</v>
      </c>
      <c r="C23" s="8" t="str">
        <f>VLOOKUP(Table1[[#This Row],[ID]],tabel_data_mentah,3,FALSE)</f>
        <v>P-05</v>
      </c>
      <c r="D23" s="8" t="str">
        <f>VLOOKUP(Table1[[#This Row],[Kode Produk]],tabel_referensi,2,FALSE)</f>
        <v>Flashdisk 64GB</v>
      </c>
      <c r="E23" s="9">
        <f>VLOOKUP(Table1[[#This Row],[Kode Produk]],tabel_referensi,3,FALSE)</f>
        <v>95000</v>
      </c>
      <c r="F23" s="8" t="str">
        <f>VLOOKUP(Table1[[#This Row],[Kode Produk]],tabel_referensi,4,FALSE)</f>
        <v>Aksesoris</v>
      </c>
      <c r="G23" s="10">
        <f>INDEX('Data Mentah'!$D$2:$D$101,MATCH(Table1[[#This Row],[Kode Produk]],'Data Mentah'!$C$2:$C$101,0))</f>
        <v>45097</v>
      </c>
      <c r="H23" s="8">
        <f>INDEX('Data Mentah'!$E$2:$E$101,MATCH(Table1[[#This Row],[Kode Produk]],'Data Mentah'!$C$2:$C$101,0))</f>
        <v>5</v>
      </c>
      <c r="I23" s="9">
        <f>Table1[[#This Row],[Harga Satuan]]*Table1[[#This Row],[Quantity]]</f>
        <v>475000</v>
      </c>
      <c r="J23" s="8" t="str">
        <f>VLOOKUP(Table1[[#This Row],[ID]],tabel_data_mentah,6,FALSE)</f>
        <v>Tidak</v>
      </c>
      <c r="K23" s="11" t="str">
        <f>IF(AND(Table1[[#This Row],[Member]]="Ya",Table1[[#This Row],[Total Harga]]&gt;1000000),"10%","0%")</f>
        <v>0%</v>
      </c>
      <c r="L23" s="9">
        <f>Table1[[#This Row],[Status Diskon]]*Table1[[#This Row],[Total Harga]]</f>
        <v>0</v>
      </c>
      <c r="M23" s="9">
        <f>Table1[[#This Row],[Total Harga]]-Table1[[#This Row],[Nominal Diskon]]</f>
        <v>475000</v>
      </c>
    </row>
    <row r="24" spans="1:13" x14ac:dyDescent="0.6">
      <c r="A24" s="30" t="s">
        <v>53</v>
      </c>
      <c r="B24" s="8" t="str">
        <f>PROPER(TRIM(VLOOKUP(Table1[[#This Row],[ID]],tabel_data_mentah,2,FALSE)))</f>
        <v>Qory Sandioriva</v>
      </c>
      <c r="C24" s="8" t="str">
        <f>VLOOKUP(Table1[[#This Row],[ID]],tabel_data_mentah,3,FALSE)</f>
        <v>P-01</v>
      </c>
      <c r="D24" s="8" t="str">
        <f>VLOOKUP(Table1[[#This Row],[Kode Produk]],tabel_referensi,2,FALSE)</f>
        <v>Laptop Pro 14</v>
      </c>
      <c r="E24" s="9">
        <f>VLOOKUP(Table1[[#This Row],[Kode Produk]],tabel_referensi,3,FALSE)</f>
        <v>12500000</v>
      </c>
      <c r="F24" s="8" t="str">
        <f>VLOOKUP(Table1[[#This Row],[Kode Produk]],tabel_referensi,4,FALSE)</f>
        <v>Komputer</v>
      </c>
      <c r="G24" s="10">
        <f>INDEX('Data Mentah'!$D$2:$D$101,MATCH(Table1[[#This Row],[Kode Produk]],'Data Mentah'!$C$2:$C$101,0))</f>
        <v>44938</v>
      </c>
      <c r="H24" s="8">
        <f>INDEX('Data Mentah'!$E$2:$E$101,MATCH(Table1[[#This Row],[Kode Produk]],'Data Mentah'!$C$2:$C$101,0))</f>
        <v>2</v>
      </c>
      <c r="I24" s="9">
        <f>Table1[[#This Row],[Harga Satuan]]*Table1[[#This Row],[Quantity]]</f>
        <v>25000000</v>
      </c>
      <c r="J24" s="8" t="str">
        <f>VLOOKUP(Table1[[#This Row],[ID]],tabel_data_mentah,6,FALSE)</f>
        <v>Ya</v>
      </c>
      <c r="K24" s="11" t="str">
        <f>IF(AND(Table1[[#This Row],[Member]]="Ya",Table1[[#This Row],[Total Harga]]&gt;1000000),"10%","0%")</f>
        <v>10%</v>
      </c>
      <c r="L24" s="9">
        <f>Table1[[#This Row],[Status Diskon]]*Table1[[#This Row],[Total Harga]]</f>
        <v>2500000</v>
      </c>
      <c r="M24" s="9">
        <f>Table1[[#This Row],[Total Harga]]-Table1[[#This Row],[Nominal Diskon]]</f>
        <v>22500000</v>
      </c>
    </row>
    <row r="25" spans="1:13" x14ac:dyDescent="0.6">
      <c r="A25" s="30" t="s">
        <v>55</v>
      </c>
      <c r="B25" s="8" t="str">
        <f>PROPER(TRIM(VLOOKUP(Table1[[#This Row],[ID]],tabel_data_mentah,2,FALSE)))</f>
        <v>Reza Rahardian</v>
      </c>
      <c r="C25" s="8" t="str">
        <f>VLOOKUP(Table1[[#This Row],[ID]],tabel_data_mentah,3,FALSE)</f>
        <v>P-02</v>
      </c>
      <c r="D25" s="8" t="str">
        <f>VLOOKUP(Table1[[#This Row],[Kode Produk]],tabel_referensi,2,FALSE)</f>
        <v>Mouse Wireless</v>
      </c>
      <c r="E25" s="9">
        <f>VLOOKUP(Table1[[#This Row],[Kode Produk]],tabel_referensi,3,FALSE)</f>
        <v>150000</v>
      </c>
      <c r="F25" s="8" t="str">
        <f>VLOOKUP(Table1[[#This Row],[Kode Produk]],tabel_referensi,4,FALSE)</f>
        <v>Aksesoris</v>
      </c>
      <c r="G25" s="10">
        <f>INDEX('Data Mentah'!$D$2:$D$101,MATCH(Table1[[#This Row],[Kode Produk]],'Data Mentah'!$C$2:$C$101,0))</f>
        <v>44972</v>
      </c>
      <c r="H25" s="8">
        <f>INDEX('Data Mentah'!$E$2:$E$101,MATCH(Table1[[#This Row],[Kode Produk]],'Data Mentah'!$C$2:$C$101,0))</f>
        <v>1</v>
      </c>
      <c r="I25" s="9">
        <f>Table1[[#This Row],[Harga Satuan]]*Table1[[#This Row],[Quantity]]</f>
        <v>150000</v>
      </c>
      <c r="J25" s="8" t="str">
        <f>VLOOKUP(Table1[[#This Row],[ID]],tabel_data_mentah,6,FALSE)</f>
        <v>Tidak</v>
      </c>
      <c r="K25" s="11" t="str">
        <f>IF(AND(Table1[[#This Row],[Member]]="Ya",Table1[[#This Row],[Total Harga]]&gt;1000000),"10%","0%")</f>
        <v>0%</v>
      </c>
      <c r="L25" s="9">
        <f>Table1[[#This Row],[Status Diskon]]*Table1[[#This Row],[Total Harga]]</f>
        <v>0</v>
      </c>
      <c r="M25" s="9">
        <f>Table1[[#This Row],[Total Harga]]-Table1[[#This Row],[Nominal Diskon]]</f>
        <v>150000</v>
      </c>
    </row>
    <row r="26" spans="1:13" x14ac:dyDescent="0.6">
      <c r="A26" s="30" t="s">
        <v>57</v>
      </c>
      <c r="B26" s="8" t="str">
        <f>PROPER(TRIM(VLOOKUP(Table1[[#This Row],[ID]],tabel_data_mentah,2,FALSE)))</f>
        <v>Sisca Soewitomo</v>
      </c>
      <c r="C26" s="8" t="str">
        <f>VLOOKUP(Table1[[#This Row],[ID]],tabel_data_mentah,3,FALSE)</f>
        <v>P-03</v>
      </c>
      <c r="D26" s="8" t="str">
        <f>VLOOKUP(Table1[[#This Row],[Kode Produk]],tabel_referensi,2,FALSE)</f>
        <v>Keyboard Mechanical</v>
      </c>
      <c r="E26" s="9">
        <f>VLOOKUP(Table1[[#This Row],[Kode Produk]],tabel_referensi,3,FALSE)</f>
        <v>450000</v>
      </c>
      <c r="F26" s="8" t="str">
        <f>VLOOKUP(Table1[[#This Row],[Kode Produk]],tabel_referensi,4,FALSE)</f>
        <v>Aksesoris</v>
      </c>
      <c r="G26" s="10">
        <f>INDEX('Data Mentah'!$D$2:$D$101,MATCH(Table1[[#This Row],[Kode Produk]],'Data Mentah'!$C$2:$C$101,0))</f>
        <v>44995</v>
      </c>
      <c r="H26" s="8">
        <f>INDEX('Data Mentah'!$E$2:$E$101,MATCH(Table1[[#This Row],[Kode Produk]],'Data Mentah'!$C$2:$C$101,0))</f>
        <v>3</v>
      </c>
      <c r="I26" s="9">
        <f>Table1[[#This Row],[Harga Satuan]]*Table1[[#This Row],[Quantity]]</f>
        <v>1350000</v>
      </c>
      <c r="J26" s="8" t="str">
        <f>VLOOKUP(Table1[[#This Row],[ID]],tabel_data_mentah,6,FALSE)</f>
        <v>Ya</v>
      </c>
      <c r="K26" s="11" t="str">
        <f>IF(AND(Table1[[#This Row],[Member]]="Ya",Table1[[#This Row],[Total Harga]]&gt;1000000),"10%","0%")</f>
        <v>10%</v>
      </c>
      <c r="L26" s="9">
        <f>Table1[[#This Row],[Status Diskon]]*Table1[[#This Row],[Total Harga]]</f>
        <v>135000</v>
      </c>
      <c r="M26" s="9">
        <f>Table1[[#This Row],[Total Harga]]-Table1[[#This Row],[Nominal Diskon]]</f>
        <v>1215000</v>
      </c>
    </row>
    <row r="27" spans="1:13" x14ac:dyDescent="0.6">
      <c r="A27" s="30" t="s">
        <v>59</v>
      </c>
      <c r="B27" s="8" t="str">
        <f>PROPER(TRIM(VLOOKUP(Table1[[#This Row],[ID]],tabel_data_mentah,2,FALSE)))</f>
        <v>Tora Sudiro</v>
      </c>
      <c r="C27" s="8" t="str">
        <f>VLOOKUP(Table1[[#This Row],[ID]],tabel_data_mentah,3,FALSE)</f>
        <v>P-04</v>
      </c>
      <c r="D27" s="8" t="str">
        <f>VLOOKUP(Table1[[#This Row],[Kode Produk]],tabel_referensi,2,FALSE)</f>
        <v>Monitor 27 Inch</v>
      </c>
      <c r="E27" s="9">
        <f>VLOOKUP(Table1[[#This Row],[Kode Produk]],tabel_referensi,3,FALSE)</f>
        <v>2100000</v>
      </c>
      <c r="F27" s="8" t="str">
        <f>VLOOKUP(Table1[[#This Row],[Kode Produk]],tabel_referensi,4,FALSE)</f>
        <v>Komputer</v>
      </c>
      <c r="G27" s="10">
        <f>INDEX('Data Mentah'!$D$2:$D$101,MATCH(Table1[[#This Row],[Kode Produk]],'Data Mentah'!$C$2:$C$101,0))</f>
        <v>45058</v>
      </c>
      <c r="H27" s="8">
        <f>INDEX('Data Mentah'!$E$2:$E$101,MATCH(Table1[[#This Row],[Kode Produk]],'Data Mentah'!$C$2:$C$101,0))</f>
        <v>2</v>
      </c>
      <c r="I27" s="9">
        <f>Table1[[#This Row],[Harga Satuan]]*Table1[[#This Row],[Quantity]]</f>
        <v>4200000</v>
      </c>
      <c r="J27" s="8" t="str">
        <f>VLOOKUP(Table1[[#This Row],[ID]],tabel_data_mentah,6,FALSE)</f>
        <v>Tidak</v>
      </c>
      <c r="K27" s="11" t="str">
        <f>IF(AND(Table1[[#This Row],[Member]]="Ya",Table1[[#This Row],[Total Harga]]&gt;1000000),"10%","0%")</f>
        <v>0%</v>
      </c>
      <c r="L27" s="9">
        <f>Table1[[#This Row],[Status Diskon]]*Table1[[#This Row],[Total Harga]]</f>
        <v>0</v>
      </c>
      <c r="M27" s="9">
        <f>Table1[[#This Row],[Total Harga]]-Table1[[#This Row],[Nominal Diskon]]</f>
        <v>4200000</v>
      </c>
    </row>
    <row r="28" spans="1:13" x14ac:dyDescent="0.6">
      <c r="A28" s="30" t="s">
        <v>61</v>
      </c>
      <c r="B28" s="8" t="str">
        <f>PROPER(TRIM(VLOOKUP(Table1[[#This Row],[ID]],tabel_data_mentah,2,FALSE)))</f>
        <v>Umay Shahab</v>
      </c>
      <c r="C28" s="8" t="str">
        <f>VLOOKUP(Table1[[#This Row],[ID]],tabel_data_mentah,3,FALSE)</f>
        <v>P-05</v>
      </c>
      <c r="D28" s="8" t="str">
        <f>VLOOKUP(Table1[[#This Row],[Kode Produk]],tabel_referensi,2,FALSE)</f>
        <v>Flashdisk 64GB</v>
      </c>
      <c r="E28" s="9">
        <f>VLOOKUP(Table1[[#This Row],[Kode Produk]],tabel_referensi,3,FALSE)</f>
        <v>95000</v>
      </c>
      <c r="F28" s="8" t="str">
        <f>VLOOKUP(Table1[[#This Row],[Kode Produk]],tabel_referensi,4,FALSE)</f>
        <v>Aksesoris</v>
      </c>
      <c r="G28" s="10">
        <f>INDEX('Data Mentah'!$D$2:$D$101,MATCH(Table1[[#This Row],[Kode Produk]],'Data Mentah'!$C$2:$C$101,0))</f>
        <v>45097</v>
      </c>
      <c r="H28" s="8">
        <f>INDEX('Data Mentah'!$E$2:$E$101,MATCH(Table1[[#This Row],[Kode Produk]],'Data Mentah'!$C$2:$C$101,0))</f>
        <v>5</v>
      </c>
      <c r="I28" s="9">
        <f>Table1[[#This Row],[Harga Satuan]]*Table1[[#This Row],[Quantity]]</f>
        <v>475000</v>
      </c>
      <c r="J28" s="8" t="str">
        <f>VLOOKUP(Table1[[#This Row],[ID]],tabel_data_mentah,6,FALSE)</f>
        <v>Ya</v>
      </c>
      <c r="K28" s="11" t="str">
        <f>IF(AND(Table1[[#This Row],[Member]]="Ya",Table1[[#This Row],[Total Harga]]&gt;1000000),"10%","0%")</f>
        <v>0%</v>
      </c>
      <c r="L28" s="9">
        <f>Table1[[#This Row],[Status Diskon]]*Table1[[#This Row],[Total Harga]]</f>
        <v>0</v>
      </c>
      <c r="M28" s="9">
        <f>Table1[[#This Row],[Total Harga]]-Table1[[#This Row],[Nominal Diskon]]</f>
        <v>475000</v>
      </c>
    </row>
    <row r="29" spans="1:13" x14ac:dyDescent="0.6">
      <c r="A29" s="30" t="s">
        <v>63</v>
      </c>
      <c r="B29" s="8" t="str">
        <f>PROPER(TRIM(VLOOKUP(Table1[[#This Row],[ID]],tabel_data_mentah,2,FALSE)))</f>
        <v>Budi Santoso</v>
      </c>
      <c r="C29" s="8" t="str">
        <f>VLOOKUP(Table1[[#This Row],[ID]],tabel_data_mentah,3,FALSE)</f>
        <v>P-02</v>
      </c>
      <c r="D29" s="8" t="str">
        <f>VLOOKUP(Table1[[#This Row],[Kode Produk]],tabel_referensi,2,FALSE)</f>
        <v>Mouse Wireless</v>
      </c>
      <c r="E29" s="9">
        <f>VLOOKUP(Table1[[#This Row],[Kode Produk]],tabel_referensi,3,FALSE)</f>
        <v>150000</v>
      </c>
      <c r="F29" s="8" t="str">
        <f>VLOOKUP(Table1[[#This Row],[Kode Produk]],tabel_referensi,4,FALSE)</f>
        <v>Aksesoris</v>
      </c>
      <c r="G29" s="10">
        <f>INDEX('Data Mentah'!$D$2:$D$101,MATCH(Table1[[#This Row],[Kode Produk]],'Data Mentah'!$C$2:$C$101,0))</f>
        <v>44972</v>
      </c>
      <c r="H29" s="8">
        <f>INDEX('Data Mentah'!$E$2:$E$101,MATCH(Table1[[#This Row],[Kode Produk]],'Data Mentah'!$C$2:$C$101,0))</f>
        <v>1</v>
      </c>
      <c r="I29" s="9">
        <f>Table1[[#This Row],[Harga Satuan]]*Table1[[#This Row],[Quantity]]</f>
        <v>150000</v>
      </c>
      <c r="J29" s="8" t="str">
        <f>VLOOKUP(Table1[[#This Row],[ID]],tabel_data_mentah,6,FALSE)</f>
        <v>Ya</v>
      </c>
      <c r="K29" s="11" t="str">
        <f>IF(AND(Table1[[#This Row],[Member]]="Ya",Table1[[#This Row],[Total Harga]]&gt;1000000),"10%","0%")</f>
        <v>0%</v>
      </c>
      <c r="L29" s="9">
        <f>Table1[[#This Row],[Status Diskon]]*Table1[[#This Row],[Total Harga]]</f>
        <v>0</v>
      </c>
      <c r="M29" s="9">
        <f>Table1[[#This Row],[Total Harga]]-Table1[[#This Row],[Nominal Diskon]]</f>
        <v>150000</v>
      </c>
    </row>
    <row r="30" spans="1:13" x14ac:dyDescent="0.6">
      <c r="A30" s="30" t="s">
        <v>64</v>
      </c>
      <c r="B30" s="8" t="str">
        <f>PROPER(TRIM(VLOOKUP(Table1[[#This Row],[ID]],tabel_data_mentah,2,FALSE)))</f>
        <v>Siti Aminah</v>
      </c>
      <c r="C30" s="8" t="str">
        <f>VLOOKUP(Table1[[#This Row],[ID]],tabel_data_mentah,3,FALSE)</f>
        <v>P-03</v>
      </c>
      <c r="D30" s="8" t="str">
        <f>VLOOKUP(Table1[[#This Row],[Kode Produk]],tabel_referensi,2,FALSE)</f>
        <v>Keyboard Mechanical</v>
      </c>
      <c r="E30" s="9">
        <f>VLOOKUP(Table1[[#This Row],[Kode Produk]],tabel_referensi,3,FALSE)</f>
        <v>450000</v>
      </c>
      <c r="F30" s="8" t="str">
        <f>VLOOKUP(Table1[[#This Row],[Kode Produk]],tabel_referensi,4,FALSE)</f>
        <v>Aksesoris</v>
      </c>
      <c r="G30" s="10">
        <f>INDEX('Data Mentah'!$D$2:$D$101,MATCH(Table1[[#This Row],[Kode Produk]],'Data Mentah'!$C$2:$C$101,0))</f>
        <v>44995</v>
      </c>
      <c r="H30" s="8">
        <f>INDEX('Data Mentah'!$E$2:$E$101,MATCH(Table1[[#This Row],[Kode Produk]],'Data Mentah'!$C$2:$C$101,0))</f>
        <v>3</v>
      </c>
      <c r="I30" s="9">
        <f>Table1[[#This Row],[Harga Satuan]]*Table1[[#This Row],[Quantity]]</f>
        <v>1350000</v>
      </c>
      <c r="J30" s="8" t="str">
        <f>VLOOKUP(Table1[[#This Row],[ID]],tabel_data_mentah,6,FALSE)</f>
        <v>Tidak</v>
      </c>
      <c r="K30" s="11" t="str">
        <f>IF(AND(Table1[[#This Row],[Member]]="Ya",Table1[[#This Row],[Total Harga]]&gt;1000000),"10%","0%")</f>
        <v>0%</v>
      </c>
      <c r="L30" s="9">
        <f>Table1[[#This Row],[Status Diskon]]*Table1[[#This Row],[Total Harga]]</f>
        <v>0</v>
      </c>
      <c r="M30" s="9">
        <f>Table1[[#This Row],[Total Harga]]-Table1[[#This Row],[Nominal Diskon]]</f>
        <v>1350000</v>
      </c>
    </row>
    <row r="31" spans="1:13" x14ac:dyDescent="0.6">
      <c r="A31" s="30" t="s">
        <v>65</v>
      </c>
      <c r="B31" s="8" t="str">
        <f>PROPER(TRIM(VLOOKUP(Table1[[#This Row],[ID]],tabel_data_mentah,2,FALSE)))</f>
        <v>Andi Wijaya</v>
      </c>
      <c r="C31" s="8" t="str">
        <f>VLOOKUP(Table1[[#This Row],[ID]],tabel_data_mentah,3,FALSE)</f>
        <v>P-04</v>
      </c>
      <c r="D31" s="8" t="str">
        <f>VLOOKUP(Table1[[#This Row],[Kode Produk]],tabel_referensi,2,FALSE)</f>
        <v>Monitor 27 Inch</v>
      </c>
      <c r="E31" s="9">
        <f>VLOOKUP(Table1[[#This Row],[Kode Produk]],tabel_referensi,3,FALSE)</f>
        <v>2100000</v>
      </c>
      <c r="F31" s="8" t="str">
        <f>VLOOKUP(Table1[[#This Row],[Kode Produk]],tabel_referensi,4,FALSE)</f>
        <v>Komputer</v>
      </c>
      <c r="G31" s="10">
        <f>INDEX('Data Mentah'!$D$2:$D$101,MATCH(Table1[[#This Row],[Kode Produk]],'Data Mentah'!$C$2:$C$101,0))</f>
        <v>45058</v>
      </c>
      <c r="H31" s="8">
        <f>INDEX('Data Mentah'!$E$2:$E$101,MATCH(Table1[[#This Row],[Kode Produk]],'Data Mentah'!$C$2:$C$101,0))</f>
        <v>2</v>
      </c>
      <c r="I31" s="9">
        <f>Table1[[#This Row],[Harga Satuan]]*Table1[[#This Row],[Quantity]]</f>
        <v>4200000</v>
      </c>
      <c r="J31" s="8" t="str">
        <f>VLOOKUP(Table1[[#This Row],[ID]],tabel_data_mentah,6,FALSE)</f>
        <v>Ya</v>
      </c>
      <c r="K31" s="11" t="str">
        <f>IF(AND(Table1[[#This Row],[Member]]="Ya",Table1[[#This Row],[Total Harga]]&gt;1000000),"10%","0%")</f>
        <v>10%</v>
      </c>
      <c r="L31" s="9">
        <f>Table1[[#This Row],[Status Diskon]]*Table1[[#This Row],[Total Harga]]</f>
        <v>420000</v>
      </c>
      <c r="M31" s="9">
        <f>Table1[[#This Row],[Total Harga]]-Table1[[#This Row],[Nominal Diskon]]</f>
        <v>3780000</v>
      </c>
    </row>
    <row r="32" spans="1:13" x14ac:dyDescent="0.6">
      <c r="A32" s="30" t="s">
        <v>66</v>
      </c>
      <c r="B32" s="8" t="str">
        <f>PROPER(TRIM(VLOOKUP(Table1[[#This Row],[ID]],tabel_data_mentah,2,FALSE)))</f>
        <v>Dewi Lestari</v>
      </c>
      <c r="C32" s="8" t="str">
        <f>VLOOKUP(Table1[[#This Row],[ID]],tabel_data_mentah,3,FALSE)</f>
        <v>P-05</v>
      </c>
      <c r="D32" s="8" t="str">
        <f>VLOOKUP(Table1[[#This Row],[Kode Produk]],tabel_referensi,2,FALSE)</f>
        <v>Flashdisk 64GB</v>
      </c>
      <c r="E32" s="9">
        <f>VLOOKUP(Table1[[#This Row],[Kode Produk]],tabel_referensi,3,FALSE)</f>
        <v>95000</v>
      </c>
      <c r="F32" s="8" t="str">
        <f>VLOOKUP(Table1[[#This Row],[Kode Produk]],tabel_referensi,4,FALSE)</f>
        <v>Aksesoris</v>
      </c>
      <c r="G32" s="10">
        <f>INDEX('Data Mentah'!$D$2:$D$101,MATCH(Table1[[#This Row],[Kode Produk]],'Data Mentah'!$C$2:$C$101,0))</f>
        <v>45097</v>
      </c>
      <c r="H32" s="8">
        <f>INDEX('Data Mentah'!$E$2:$E$101,MATCH(Table1[[#This Row],[Kode Produk]],'Data Mentah'!$C$2:$C$101,0))</f>
        <v>5</v>
      </c>
      <c r="I32" s="9">
        <f>Table1[[#This Row],[Harga Satuan]]*Table1[[#This Row],[Quantity]]</f>
        <v>475000</v>
      </c>
      <c r="J32" s="8" t="str">
        <f>VLOOKUP(Table1[[#This Row],[ID]],tabel_data_mentah,6,FALSE)</f>
        <v>Tidak</v>
      </c>
      <c r="K32" s="11" t="str">
        <f>IF(AND(Table1[[#This Row],[Member]]="Ya",Table1[[#This Row],[Total Harga]]&gt;1000000),"10%","0%")</f>
        <v>0%</v>
      </c>
      <c r="L32" s="9">
        <f>Table1[[#This Row],[Status Diskon]]*Table1[[#This Row],[Total Harga]]</f>
        <v>0</v>
      </c>
      <c r="M32" s="9">
        <f>Table1[[#This Row],[Total Harga]]-Table1[[#This Row],[Nominal Diskon]]</f>
        <v>475000</v>
      </c>
    </row>
    <row r="33" spans="1:13" x14ac:dyDescent="0.6">
      <c r="A33" s="30" t="s">
        <v>67</v>
      </c>
      <c r="B33" s="8" t="str">
        <f>PROPER(TRIM(VLOOKUP(Table1[[#This Row],[ID]],tabel_data_mentah,2,FALSE)))</f>
        <v>Eko Prasetyo</v>
      </c>
      <c r="C33" s="8" t="str">
        <f>VLOOKUP(Table1[[#This Row],[ID]],tabel_data_mentah,3,FALSE)</f>
        <v>P-01</v>
      </c>
      <c r="D33" s="8" t="str">
        <f>VLOOKUP(Table1[[#This Row],[Kode Produk]],tabel_referensi,2,FALSE)</f>
        <v>Laptop Pro 14</v>
      </c>
      <c r="E33" s="9">
        <f>VLOOKUP(Table1[[#This Row],[Kode Produk]],tabel_referensi,3,FALSE)</f>
        <v>12500000</v>
      </c>
      <c r="F33" s="8" t="str">
        <f>VLOOKUP(Table1[[#This Row],[Kode Produk]],tabel_referensi,4,FALSE)</f>
        <v>Komputer</v>
      </c>
      <c r="G33" s="10">
        <f>INDEX('Data Mentah'!$D$2:$D$101,MATCH(Table1[[#This Row],[Kode Produk]],'Data Mentah'!$C$2:$C$101,0))</f>
        <v>44938</v>
      </c>
      <c r="H33" s="8">
        <f>INDEX('Data Mentah'!$E$2:$E$101,MATCH(Table1[[#This Row],[Kode Produk]],'Data Mentah'!$C$2:$C$101,0))</f>
        <v>2</v>
      </c>
      <c r="I33" s="9">
        <f>Table1[[#This Row],[Harga Satuan]]*Table1[[#This Row],[Quantity]]</f>
        <v>25000000</v>
      </c>
      <c r="J33" s="8" t="str">
        <f>VLOOKUP(Table1[[#This Row],[ID]],tabel_data_mentah,6,FALSE)</f>
        <v>Ya</v>
      </c>
      <c r="K33" s="11" t="str">
        <f>IF(AND(Table1[[#This Row],[Member]]="Ya",Table1[[#This Row],[Total Harga]]&gt;1000000),"10%","0%")</f>
        <v>10%</v>
      </c>
      <c r="L33" s="9">
        <f>Table1[[#This Row],[Status Diskon]]*Table1[[#This Row],[Total Harga]]</f>
        <v>2500000</v>
      </c>
      <c r="M33" s="9">
        <f>Table1[[#This Row],[Total Harga]]-Table1[[#This Row],[Nominal Diskon]]</f>
        <v>22500000</v>
      </c>
    </row>
    <row r="34" spans="1:13" x14ac:dyDescent="0.6">
      <c r="A34" s="30" t="s">
        <v>68</v>
      </c>
      <c r="B34" s="8" t="str">
        <f>PROPER(TRIM(VLOOKUP(Table1[[#This Row],[ID]],tabel_data_mentah,2,FALSE)))</f>
        <v>Rina Mr</v>
      </c>
      <c r="C34" s="8" t="str">
        <f>VLOOKUP(Table1[[#This Row],[ID]],tabel_data_mentah,3,FALSE)</f>
        <v>P-02</v>
      </c>
      <c r="D34" s="8" t="str">
        <f>VLOOKUP(Table1[[#This Row],[Kode Produk]],tabel_referensi,2,FALSE)</f>
        <v>Mouse Wireless</v>
      </c>
      <c r="E34" s="9">
        <f>VLOOKUP(Table1[[#This Row],[Kode Produk]],tabel_referensi,3,FALSE)</f>
        <v>150000</v>
      </c>
      <c r="F34" s="8" t="str">
        <f>VLOOKUP(Table1[[#This Row],[Kode Produk]],tabel_referensi,4,FALSE)</f>
        <v>Aksesoris</v>
      </c>
      <c r="G34" s="10">
        <f>INDEX('Data Mentah'!$D$2:$D$101,MATCH(Table1[[#This Row],[Kode Produk]],'Data Mentah'!$C$2:$C$101,0))</f>
        <v>44972</v>
      </c>
      <c r="H34" s="8">
        <f>INDEX('Data Mentah'!$E$2:$E$101,MATCH(Table1[[#This Row],[Kode Produk]],'Data Mentah'!$C$2:$C$101,0))</f>
        <v>1</v>
      </c>
      <c r="I34" s="9">
        <f>Table1[[#This Row],[Harga Satuan]]*Table1[[#This Row],[Quantity]]</f>
        <v>150000</v>
      </c>
      <c r="J34" s="8" t="str">
        <f>VLOOKUP(Table1[[#This Row],[ID]],tabel_data_mentah,6,FALSE)</f>
        <v>Tidak</v>
      </c>
      <c r="K34" s="11" t="str">
        <f>IF(AND(Table1[[#This Row],[Member]]="Ya",Table1[[#This Row],[Total Harga]]&gt;1000000),"10%","0%")</f>
        <v>0%</v>
      </c>
      <c r="L34" s="9">
        <f>Table1[[#This Row],[Status Diskon]]*Table1[[#This Row],[Total Harga]]</f>
        <v>0</v>
      </c>
      <c r="M34" s="9">
        <f>Table1[[#This Row],[Total Harga]]-Table1[[#This Row],[Nominal Diskon]]</f>
        <v>150000</v>
      </c>
    </row>
    <row r="35" spans="1:13" x14ac:dyDescent="0.6">
      <c r="A35" s="30" t="s">
        <v>69</v>
      </c>
      <c r="B35" s="8" t="str">
        <f>PROPER(TRIM(VLOOKUP(Table1[[#This Row],[ID]],tabel_data_mentah,2,FALSE)))</f>
        <v>Agus Supriyadi</v>
      </c>
      <c r="C35" s="8" t="str">
        <f>VLOOKUP(Table1[[#This Row],[ID]],tabel_data_mentah,3,FALSE)</f>
        <v>P-03</v>
      </c>
      <c r="D35" s="8" t="str">
        <f>VLOOKUP(Table1[[#This Row],[Kode Produk]],tabel_referensi,2,FALSE)</f>
        <v>Keyboard Mechanical</v>
      </c>
      <c r="E35" s="9">
        <f>VLOOKUP(Table1[[#This Row],[Kode Produk]],tabel_referensi,3,FALSE)</f>
        <v>450000</v>
      </c>
      <c r="F35" s="8" t="str">
        <f>VLOOKUP(Table1[[#This Row],[Kode Produk]],tabel_referensi,4,FALSE)</f>
        <v>Aksesoris</v>
      </c>
      <c r="G35" s="10">
        <f>INDEX('Data Mentah'!$D$2:$D$101,MATCH(Table1[[#This Row],[Kode Produk]],'Data Mentah'!$C$2:$C$101,0))</f>
        <v>44995</v>
      </c>
      <c r="H35" s="8">
        <f>INDEX('Data Mentah'!$E$2:$E$101,MATCH(Table1[[#This Row],[Kode Produk]],'Data Mentah'!$C$2:$C$101,0))</f>
        <v>3</v>
      </c>
      <c r="I35" s="9">
        <f>Table1[[#This Row],[Harga Satuan]]*Table1[[#This Row],[Quantity]]</f>
        <v>1350000</v>
      </c>
      <c r="J35" s="8" t="str">
        <f>VLOOKUP(Table1[[#This Row],[ID]],tabel_data_mentah,6,FALSE)</f>
        <v>Ya</v>
      </c>
      <c r="K35" s="11" t="str">
        <f>IF(AND(Table1[[#This Row],[Member]]="Ya",Table1[[#This Row],[Total Harga]]&gt;1000000),"10%","0%")</f>
        <v>10%</v>
      </c>
      <c r="L35" s="9">
        <f>Table1[[#This Row],[Status Diskon]]*Table1[[#This Row],[Total Harga]]</f>
        <v>135000</v>
      </c>
      <c r="M35" s="9">
        <f>Table1[[#This Row],[Total Harga]]-Table1[[#This Row],[Nominal Diskon]]</f>
        <v>1215000</v>
      </c>
    </row>
    <row r="36" spans="1:13" x14ac:dyDescent="0.6">
      <c r="A36" s="30" t="s">
        <v>70</v>
      </c>
      <c r="B36" s="8" t="str">
        <f>PROPER(TRIM(VLOOKUP(Table1[[#This Row],[ID]],tabel_data_mentah,2,FALSE)))</f>
        <v>Nina Herlina</v>
      </c>
      <c r="C36" s="8" t="str">
        <f>VLOOKUP(Table1[[#This Row],[ID]],tabel_data_mentah,3,FALSE)</f>
        <v>P-04</v>
      </c>
      <c r="D36" s="8" t="str">
        <f>VLOOKUP(Table1[[#This Row],[Kode Produk]],tabel_referensi,2,FALSE)</f>
        <v>Monitor 27 Inch</v>
      </c>
      <c r="E36" s="9">
        <f>VLOOKUP(Table1[[#This Row],[Kode Produk]],tabel_referensi,3,FALSE)</f>
        <v>2100000</v>
      </c>
      <c r="F36" s="8" t="str">
        <f>VLOOKUP(Table1[[#This Row],[Kode Produk]],tabel_referensi,4,FALSE)</f>
        <v>Komputer</v>
      </c>
      <c r="G36" s="10">
        <f>INDEX('Data Mentah'!$D$2:$D$101,MATCH(Table1[[#This Row],[Kode Produk]],'Data Mentah'!$C$2:$C$101,0))</f>
        <v>45058</v>
      </c>
      <c r="H36" s="8">
        <f>INDEX('Data Mentah'!$E$2:$E$101,MATCH(Table1[[#This Row],[Kode Produk]],'Data Mentah'!$C$2:$C$101,0))</f>
        <v>2</v>
      </c>
      <c r="I36" s="9">
        <f>Table1[[#This Row],[Harga Satuan]]*Table1[[#This Row],[Quantity]]</f>
        <v>4200000</v>
      </c>
      <c r="J36" s="8" t="str">
        <f>VLOOKUP(Table1[[#This Row],[ID]],tabel_data_mentah,6,FALSE)</f>
        <v>Tidak</v>
      </c>
      <c r="K36" s="11" t="str">
        <f>IF(AND(Table1[[#This Row],[Member]]="Ya",Table1[[#This Row],[Total Harga]]&gt;1000000),"10%","0%")</f>
        <v>0%</v>
      </c>
      <c r="L36" s="9">
        <f>Table1[[#This Row],[Status Diskon]]*Table1[[#This Row],[Total Harga]]</f>
        <v>0</v>
      </c>
      <c r="M36" s="9">
        <f>Table1[[#This Row],[Total Harga]]-Table1[[#This Row],[Nominal Diskon]]</f>
        <v>4200000</v>
      </c>
    </row>
    <row r="37" spans="1:13" x14ac:dyDescent="0.6">
      <c r="A37" s="30" t="s">
        <v>71</v>
      </c>
      <c r="B37" s="8" t="str">
        <f>PROPER(TRIM(VLOOKUP(Table1[[#This Row],[ID]],tabel_data_mentah,2,FALSE)))</f>
        <v>Doni Salmanan</v>
      </c>
      <c r="C37" s="8" t="str">
        <f>VLOOKUP(Table1[[#This Row],[ID]],tabel_data_mentah,3,FALSE)</f>
        <v>P-05</v>
      </c>
      <c r="D37" s="8" t="str">
        <f>VLOOKUP(Table1[[#This Row],[Kode Produk]],tabel_referensi,2,FALSE)</f>
        <v>Flashdisk 64GB</v>
      </c>
      <c r="E37" s="9">
        <f>VLOOKUP(Table1[[#This Row],[Kode Produk]],tabel_referensi,3,FALSE)</f>
        <v>95000</v>
      </c>
      <c r="F37" s="8" t="str">
        <f>VLOOKUP(Table1[[#This Row],[Kode Produk]],tabel_referensi,4,FALSE)</f>
        <v>Aksesoris</v>
      </c>
      <c r="G37" s="10">
        <f>INDEX('Data Mentah'!$D$2:$D$101,MATCH(Table1[[#This Row],[Kode Produk]],'Data Mentah'!$C$2:$C$101,0))</f>
        <v>45097</v>
      </c>
      <c r="H37" s="8">
        <f>INDEX('Data Mentah'!$E$2:$E$101,MATCH(Table1[[#This Row],[Kode Produk]],'Data Mentah'!$C$2:$C$101,0))</f>
        <v>5</v>
      </c>
      <c r="I37" s="9">
        <f>Table1[[#This Row],[Harga Satuan]]*Table1[[#This Row],[Quantity]]</f>
        <v>475000</v>
      </c>
      <c r="J37" s="8" t="str">
        <f>VLOOKUP(Table1[[#This Row],[ID]],tabel_data_mentah,6,FALSE)</f>
        <v>Ya</v>
      </c>
      <c r="K37" s="11" t="str">
        <f>IF(AND(Table1[[#This Row],[Member]]="Ya",Table1[[#This Row],[Total Harga]]&gt;1000000),"10%","0%")</f>
        <v>0%</v>
      </c>
      <c r="L37" s="9">
        <f>Table1[[#This Row],[Status Diskon]]*Table1[[#This Row],[Total Harga]]</f>
        <v>0</v>
      </c>
      <c r="M37" s="9">
        <f>Table1[[#This Row],[Total Harga]]-Table1[[#This Row],[Nominal Diskon]]</f>
        <v>475000</v>
      </c>
    </row>
    <row r="38" spans="1:13" x14ac:dyDescent="0.6">
      <c r="A38" s="30" t="s">
        <v>72</v>
      </c>
      <c r="B38" s="8" t="str">
        <f>PROPER(TRIM(VLOOKUP(Table1[[#This Row],[ID]],tabel_data_mentah,2,FALSE)))</f>
        <v>Fajar Nugraha</v>
      </c>
      <c r="C38" s="8" t="str">
        <f>VLOOKUP(Table1[[#This Row],[ID]],tabel_data_mentah,3,FALSE)</f>
        <v>P-01</v>
      </c>
      <c r="D38" s="8" t="str">
        <f>VLOOKUP(Table1[[#This Row],[Kode Produk]],tabel_referensi,2,FALSE)</f>
        <v>Laptop Pro 14</v>
      </c>
      <c r="E38" s="9">
        <f>VLOOKUP(Table1[[#This Row],[Kode Produk]],tabel_referensi,3,FALSE)</f>
        <v>12500000</v>
      </c>
      <c r="F38" s="8" t="str">
        <f>VLOOKUP(Table1[[#This Row],[Kode Produk]],tabel_referensi,4,FALSE)</f>
        <v>Komputer</v>
      </c>
      <c r="G38" s="10">
        <f>INDEX('Data Mentah'!$D$2:$D$101,MATCH(Table1[[#This Row],[Kode Produk]],'Data Mentah'!$C$2:$C$101,0))</f>
        <v>44938</v>
      </c>
      <c r="H38" s="8">
        <f>INDEX('Data Mentah'!$E$2:$E$101,MATCH(Table1[[#This Row],[Kode Produk]],'Data Mentah'!$C$2:$C$101,0))</f>
        <v>2</v>
      </c>
      <c r="I38" s="9">
        <f>Table1[[#This Row],[Harga Satuan]]*Table1[[#This Row],[Quantity]]</f>
        <v>25000000</v>
      </c>
      <c r="J38" s="8" t="str">
        <f>VLOOKUP(Table1[[#This Row],[ID]],tabel_data_mentah,6,FALSE)</f>
        <v>Tidak</v>
      </c>
      <c r="K38" s="11" t="str">
        <f>IF(AND(Table1[[#This Row],[Member]]="Ya",Table1[[#This Row],[Total Harga]]&gt;1000000),"10%","0%")</f>
        <v>0%</v>
      </c>
      <c r="L38" s="9">
        <f>Table1[[#This Row],[Status Diskon]]*Table1[[#This Row],[Total Harga]]</f>
        <v>0</v>
      </c>
      <c r="M38" s="9">
        <f>Table1[[#This Row],[Total Harga]]-Table1[[#This Row],[Nominal Diskon]]</f>
        <v>25000000</v>
      </c>
    </row>
    <row r="39" spans="1:13" x14ac:dyDescent="0.6">
      <c r="A39" s="30" t="s">
        <v>73</v>
      </c>
      <c r="B39" s="8" t="str">
        <f>PROPER(TRIM(VLOOKUP(Table1[[#This Row],[ID]],tabel_data_mentah,2,FALSE)))</f>
        <v>Gina Sonia</v>
      </c>
      <c r="C39" s="8" t="str">
        <f>VLOOKUP(Table1[[#This Row],[ID]],tabel_data_mentah,3,FALSE)</f>
        <v>P-02</v>
      </c>
      <c r="D39" s="8" t="str">
        <f>VLOOKUP(Table1[[#This Row],[Kode Produk]],tabel_referensi,2,FALSE)</f>
        <v>Mouse Wireless</v>
      </c>
      <c r="E39" s="9">
        <f>VLOOKUP(Table1[[#This Row],[Kode Produk]],tabel_referensi,3,FALSE)</f>
        <v>150000</v>
      </c>
      <c r="F39" s="8" t="str">
        <f>VLOOKUP(Table1[[#This Row],[Kode Produk]],tabel_referensi,4,FALSE)</f>
        <v>Aksesoris</v>
      </c>
      <c r="G39" s="10">
        <f>INDEX('Data Mentah'!$D$2:$D$101,MATCH(Table1[[#This Row],[Kode Produk]],'Data Mentah'!$C$2:$C$101,0))</f>
        <v>44972</v>
      </c>
      <c r="H39" s="8">
        <f>INDEX('Data Mentah'!$E$2:$E$101,MATCH(Table1[[#This Row],[Kode Produk]],'Data Mentah'!$C$2:$C$101,0))</f>
        <v>1</v>
      </c>
      <c r="I39" s="9">
        <f>Table1[[#This Row],[Harga Satuan]]*Table1[[#This Row],[Quantity]]</f>
        <v>150000</v>
      </c>
      <c r="J39" s="8" t="str">
        <f>VLOOKUP(Table1[[#This Row],[ID]],tabel_data_mentah,6,FALSE)</f>
        <v>Ya</v>
      </c>
      <c r="K39" s="11" t="str">
        <f>IF(AND(Table1[[#This Row],[Member]]="Ya",Table1[[#This Row],[Total Harga]]&gt;1000000),"10%","0%")</f>
        <v>0%</v>
      </c>
      <c r="L39" s="9">
        <f>Table1[[#This Row],[Status Diskon]]*Table1[[#This Row],[Total Harga]]</f>
        <v>0</v>
      </c>
      <c r="M39" s="9">
        <f>Table1[[#This Row],[Total Harga]]-Table1[[#This Row],[Nominal Diskon]]</f>
        <v>150000</v>
      </c>
    </row>
    <row r="40" spans="1:13" x14ac:dyDescent="0.6">
      <c r="A40" s="30" t="s">
        <v>74</v>
      </c>
      <c r="B40" s="8" t="str">
        <f>PROPER(TRIM(VLOOKUP(Table1[[#This Row],[ID]],tabel_data_mentah,2,FALSE)))</f>
        <v>Hendra Gunawan</v>
      </c>
      <c r="C40" s="8" t="str">
        <f>VLOOKUP(Table1[[#This Row],[ID]],tabel_data_mentah,3,FALSE)</f>
        <v>P-03</v>
      </c>
      <c r="D40" s="8" t="str">
        <f>VLOOKUP(Table1[[#This Row],[Kode Produk]],tabel_referensi,2,FALSE)</f>
        <v>Keyboard Mechanical</v>
      </c>
      <c r="E40" s="9">
        <f>VLOOKUP(Table1[[#This Row],[Kode Produk]],tabel_referensi,3,FALSE)</f>
        <v>450000</v>
      </c>
      <c r="F40" s="8" t="str">
        <f>VLOOKUP(Table1[[#This Row],[Kode Produk]],tabel_referensi,4,FALSE)</f>
        <v>Aksesoris</v>
      </c>
      <c r="G40" s="10">
        <f>INDEX('Data Mentah'!$D$2:$D$101,MATCH(Table1[[#This Row],[Kode Produk]],'Data Mentah'!$C$2:$C$101,0))</f>
        <v>44995</v>
      </c>
      <c r="H40" s="8">
        <f>INDEX('Data Mentah'!$E$2:$E$101,MATCH(Table1[[#This Row],[Kode Produk]],'Data Mentah'!$C$2:$C$101,0))</f>
        <v>3</v>
      </c>
      <c r="I40" s="9">
        <f>Table1[[#This Row],[Harga Satuan]]*Table1[[#This Row],[Quantity]]</f>
        <v>1350000</v>
      </c>
      <c r="J40" s="8" t="str">
        <f>VLOOKUP(Table1[[#This Row],[ID]],tabel_data_mentah,6,FALSE)</f>
        <v>Tidak</v>
      </c>
      <c r="K40" s="11" t="str">
        <f>IF(AND(Table1[[#This Row],[Member]]="Ya",Table1[[#This Row],[Total Harga]]&gt;1000000),"10%","0%")</f>
        <v>0%</v>
      </c>
      <c r="L40" s="9">
        <f>Table1[[#This Row],[Status Diskon]]*Table1[[#This Row],[Total Harga]]</f>
        <v>0</v>
      </c>
      <c r="M40" s="9">
        <f>Table1[[#This Row],[Total Harga]]-Table1[[#This Row],[Nominal Diskon]]</f>
        <v>1350000</v>
      </c>
    </row>
    <row r="41" spans="1:13" x14ac:dyDescent="0.6">
      <c r="A41" s="30" t="s">
        <v>75</v>
      </c>
      <c r="B41" s="8" t="str">
        <f>PROPER(TRIM(VLOOKUP(Table1[[#This Row],[ID]],tabel_data_mentah,2,FALSE)))</f>
        <v>Indra Bekti</v>
      </c>
      <c r="C41" s="8" t="str">
        <f>VLOOKUP(Table1[[#This Row],[ID]],tabel_data_mentah,3,FALSE)</f>
        <v>P-04</v>
      </c>
      <c r="D41" s="8" t="str">
        <f>VLOOKUP(Table1[[#This Row],[Kode Produk]],tabel_referensi,2,FALSE)</f>
        <v>Monitor 27 Inch</v>
      </c>
      <c r="E41" s="9">
        <f>VLOOKUP(Table1[[#This Row],[Kode Produk]],tabel_referensi,3,FALSE)</f>
        <v>2100000</v>
      </c>
      <c r="F41" s="8" t="str">
        <f>VLOOKUP(Table1[[#This Row],[Kode Produk]],tabel_referensi,4,FALSE)</f>
        <v>Komputer</v>
      </c>
      <c r="G41" s="10">
        <f>INDEX('Data Mentah'!$D$2:$D$101,MATCH(Table1[[#This Row],[Kode Produk]],'Data Mentah'!$C$2:$C$101,0))</f>
        <v>45058</v>
      </c>
      <c r="H41" s="8">
        <f>INDEX('Data Mentah'!$E$2:$E$101,MATCH(Table1[[#This Row],[Kode Produk]],'Data Mentah'!$C$2:$C$101,0))</f>
        <v>2</v>
      </c>
      <c r="I41" s="9">
        <f>Table1[[#This Row],[Harga Satuan]]*Table1[[#This Row],[Quantity]]</f>
        <v>4200000</v>
      </c>
      <c r="J41" s="8" t="str">
        <f>VLOOKUP(Table1[[#This Row],[ID]],tabel_data_mentah,6,FALSE)</f>
        <v>Ya</v>
      </c>
      <c r="K41" s="11" t="str">
        <f>IF(AND(Table1[[#This Row],[Member]]="Ya",Table1[[#This Row],[Total Harga]]&gt;1000000),"10%","0%")</f>
        <v>10%</v>
      </c>
      <c r="L41" s="9">
        <f>Table1[[#This Row],[Status Diskon]]*Table1[[#This Row],[Total Harga]]</f>
        <v>420000</v>
      </c>
      <c r="M41" s="9">
        <f>Table1[[#This Row],[Total Harga]]-Table1[[#This Row],[Nominal Diskon]]</f>
        <v>3780000</v>
      </c>
    </row>
    <row r="42" spans="1:13" x14ac:dyDescent="0.6">
      <c r="A42" s="30" t="s">
        <v>76</v>
      </c>
      <c r="B42" s="8" t="str">
        <f>PROPER(TRIM(VLOOKUP(Table1[[#This Row],[ID]],tabel_data_mentah,2,FALSE)))</f>
        <v>Joko Widodo</v>
      </c>
      <c r="C42" s="8" t="str">
        <f>VLOOKUP(Table1[[#This Row],[ID]],tabel_data_mentah,3,FALSE)</f>
        <v>P-05</v>
      </c>
      <c r="D42" s="8" t="str">
        <f>VLOOKUP(Table1[[#This Row],[Kode Produk]],tabel_referensi,2,FALSE)</f>
        <v>Flashdisk 64GB</v>
      </c>
      <c r="E42" s="9">
        <f>VLOOKUP(Table1[[#This Row],[Kode Produk]],tabel_referensi,3,FALSE)</f>
        <v>95000</v>
      </c>
      <c r="F42" s="8" t="str">
        <f>VLOOKUP(Table1[[#This Row],[Kode Produk]],tabel_referensi,4,FALSE)</f>
        <v>Aksesoris</v>
      </c>
      <c r="G42" s="10">
        <f>INDEX('Data Mentah'!$D$2:$D$101,MATCH(Table1[[#This Row],[Kode Produk]],'Data Mentah'!$C$2:$C$101,0))</f>
        <v>45097</v>
      </c>
      <c r="H42" s="8">
        <f>INDEX('Data Mentah'!$E$2:$E$101,MATCH(Table1[[#This Row],[Kode Produk]],'Data Mentah'!$C$2:$C$101,0))</f>
        <v>5</v>
      </c>
      <c r="I42" s="9">
        <f>Table1[[#This Row],[Harga Satuan]]*Table1[[#This Row],[Quantity]]</f>
        <v>475000</v>
      </c>
      <c r="J42" s="8" t="str">
        <f>VLOOKUP(Table1[[#This Row],[ID]],tabel_data_mentah,6,FALSE)</f>
        <v>Tidak</v>
      </c>
      <c r="K42" s="11" t="str">
        <f>IF(AND(Table1[[#This Row],[Member]]="Ya",Table1[[#This Row],[Total Harga]]&gt;1000000),"10%","0%")</f>
        <v>0%</v>
      </c>
      <c r="L42" s="9">
        <f>Table1[[#This Row],[Status Diskon]]*Table1[[#This Row],[Total Harga]]</f>
        <v>0</v>
      </c>
      <c r="M42" s="9">
        <f>Table1[[#This Row],[Total Harga]]-Table1[[#This Row],[Nominal Diskon]]</f>
        <v>475000</v>
      </c>
    </row>
    <row r="43" spans="1:13" x14ac:dyDescent="0.6">
      <c r="A43" s="30" t="s">
        <v>77</v>
      </c>
      <c r="B43" s="8" t="str">
        <f>PROPER(TRIM(VLOOKUP(Table1[[#This Row],[ID]],tabel_data_mentah,2,FALSE)))</f>
        <v>Kiki Amalia</v>
      </c>
      <c r="C43" s="8" t="str">
        <f>VLOOKUP(Table1[[#This Row],[ID]],tabel_data_mentah,3,FALSE)</f>
        <v>P-01</v>
      </c>
      <c r="D43" s="8" t="str">
        <f>VLOOKUP(Table1[[#This Row],[Kode Produk]],tabel_referensi,2,FALSE)</f>
        <v>Laptop Pro 14</v>
      </c>
      <c r="E43" s="9">
        <f>VLOOKUP(Table1[[#This Row],[Kode Produk]],tabel_referensi,3,FALSE)</f>
        <v>12500000</v>
      </c>
      <c r="F43" s="8" t="str">
        <f>VLOOKUP(Table1[[#This Row],[Kode Produk]],tabel_referensi,4,FALSE)</f>
        <v>Komputer</v>
      </c>
      <c r="G43" s="10">
        <f>INDEX('Data Mentah'!$D$2:$D$101,MATCH(Table1[[#This Row],[Kode Produk]],'Data Mentah'!$C$2:$C$101,0))</f>
        <v>44938</v>
      </c>
      <c r="H43" s="8">
        <f>INDEX('Data Mentah'!$E$2:$E$101,MATCH(Table1[[#This Row],[Kode Produk]],'Data Mentah'!$C$2:$C$101,0))</f>
        <v>2</v>
      </c>
      <c r="I43" s="9">
        <f>Table1[[#This Row],[Harga Satuan]]*Table1[[#This Row],[Quantity]]</f>
        <v>25000000</v>
      </c>
      <c r="J43" s="8" t="str">
        <f>VLOOKUP(Table1[[#This Row],[ID]],tabel_data_mentah,6,FALSE)</f>
        <v>Ya</v>
      </c>
      <c r="K43" s="11" t="str">
        <f>IF(AND(Table1[[#This Row],[Member]]="Ya",Table1[[#This Row],[Total Harga]]&gt;1000000),"10%","0%")</f>
        <v>10%</v>
      </c>
      <c r="L43" s="9">
        <f>Table1[[#This Row],[Status Diskon]]*Table1[[#This Row],[Total Harga]]</f>
        <v>2500000</v>
      </c>
      <c r="M43" s="9">
        <f>Table1[[#This Row],[Total Harga]]-Table1[[#This Row],[Nominal Diskon]]</f>
        <v>22500000</v>
      </c>
    </row>
    <row r="44" spans="1:13" x14ac:dyDescent="0.6">
      <c r="A44" s="30" t="s">
        <v>78</v>
      </c>
      <c r="B44" s="8" t="str">
        <f>PROPER(TRIM(VLOOKUP(Table1[[#This Row],[ID]],tabel_data_mentah,2,FALSE)))</f>
        <v>Lina Marlina</v>
      </c>
      <c r="C44" s="8" t="str">
        <f>VLOOKUP(Table1[[#This Row],[ID]],tabel_data_mentah,3,FALSE)</f>
        <v>P-02</v>
      </c>
      <c r="D44" s="8" t="str">
        <f>VLOOKUP(Table1[[#This Row],[Kode Produk]],tabel_referensi,2,FALSE)</f>
        <v>Mouse Wireless</v>
      </c>
      <c r="E44" s="9">
        <f>VLOOKUP(Table1[[#This Row],[Kode Produk]],tabel_referensi,3,FALSE)</f>
        <v>150000</v>
      </c>
      <c r="F44" s="8" t="str">
        <f>VLOOKUP(Table1[[#This Row],[Kode Produk]],tabel_referensi,4,FALSE)</f>
        <v>Aksesoris</v>
      </c>
      <c r="G44" s="10">
        <f>INDEX('Data Mentah'!$D$2:$D$101,MATCH(Table1[[#This Row],[Kode Produk]],'Data Mentah'!$C$2:$C$101,0))</f>
        <v>44972</v>
      </c>
      <c r="H44" s="8">
        <f>INDEX('Data Mentah'!$E$2:$E$101,MATCH(Table1[[#This Row],[Kode Produk]],'Data Mentah'!$C$2:$C$101,0))</f>
        <v>1</v>
      </c>
      <c r="I44" s="9">
        <f>Table1[[#This Row],[Harga Satuan]]*Table1[[#This Row],[Quantity]]</f>
        <v>150000</v>
      </c>
      <c r="J44" s="8" t="str">
        <f>VLOOKUP(Table1[[#This Row],[ID]],tabel_data_mentah,6,FALSE)</f>
        <v>Tidak</v>
      </c>
      <c r="K44" s="11" t="str">
        <f>IF(AND(Table1[[#This Row],[Member]]="Ya",Table1[[#This Row],[Total Harga]]&gt;1000000),"10%","0%")</f>
        <v>0%</v>
      </c>
      <c r="L44" s="9">
        <f>Table1[[#This Row],[Status Diskon]]*Table1[[#This Row],[Total Harga]]</f>
        <v>0</v>
      </c>
      <c r="M44" s="9">
        <f>Table1[[#This Row],[Total Harga]]-Table1[[#This Row],[Nominal Diskon]]</f>
        <v>150000</v>
      </c>
    </row>
    <row r="45" spans="1:13" x14ac:dyDescent="0.6">
      <c r="A45" s="30" t="s">
        <v>79</v>
      </c>
      <c r="B45" s="8" t="str">
        <f>PROPER(TRIM(VLOOKUP(Table1[[#This Row],[ID]],tabel_data_mentah,2,FALSE)))</f>
        <v>Maman Abdurrahman</v>
      </c>
      <c r="C45" s="8" t="str">
        <f>VLOOKUP(Table1[[#This Row],[ID]],tabel_data_mentah,3,FALSE)</f>
        <v>P-03</v>
      </c>
      <c r="D45" s="8" t="str">
        <f>VLOOKUP(Table1[[#This Row],[Kode Produk]],tabel_referensi,2,FALSE)</f>
        <v>Keyboard Mechanical</v>
      </c>
      <c r="E45" s="9">
        <f>VLOOKUP(Table1[[#This Row],[Kode Produk]],tabel_referensi,3,FALSE)</f>
        <v>450000</v>
      </c>
      <c r="F45" s="8" t="str">
        <f>VLOOKUP(Table1[[#This Row],[Kode Produk]],tabel_referensi,4,FALSE)</f>
        <v>Aksesoris</v>
      </c>
      <c r="G45" s="10">
        <f>INDEX('Data Mentah'!$D$2:$D$101,MATCH(Table1[[#This Row],[Kode Produk]],'Data Mentah'!$C$2:$C$101,0))</f>
        <v>44995</v>
      </c>
      <c r="H45" s="8">
        <f>INDEX('Data Mentah'!$E$2:$E$101,MATCH(Table1[[#This Row],[Kode Produk]],'Data Mentah'!$C$2:$C$101,0))</f>
        <v>3</v>
      </c>
      <c r="I45" s="9">
        <f>Table1[[#This Row],[Harga Satuan]]*Table1[[#This Row],[Quantity]]</f>
        <v>1350000</v>
      </c>
      <c r="J45" s="8" t="str">
        <f>VLOOKUP(Table1[[#This Row],[ID]],tabel_data_mentah,6,FALSE)</f>
        <v>Ya</v>
      </c>
      <c r="K45" s="11" t="str">
        <f>IF(AND(Table1[[#This Row],[Member]]="Ya",Table1[[#This Row],[Total Harga]]&gt;1000000),"10%","0%")</f>
        <v>10%</v>
      </c>
      <c r="L45" s="9">
        <f>Table1[[#This Row],[Status Diskon]]*Table1[[#This Row],[Total Harga]]</f>
        <v>135000</v>
      </c>
      <c r="M45" s="9">
        <f>Table1[[#This Row],[Total Harga]]-Table1[[#This Row],[Nominal Diskon]]</f>
        <v>1215000</v>
      </c>
    </row>
    <row r="46" spans="1:13" x14ac:dyDescent="0.6">
      <c r="A46" s="30" t="s">
        <v>80</v>
      </c>
      <c r="B46" s="8" t="str">
        <f>PROPER(TRIM(VLOOKUP(Table1[[#This Row],[ID]],tabel_data_mentah,2,FALSE)))</f>
        <v>Nanda Saputra</v>
      </c>
      <c r="C46" s="8" t="str">
        <f>VLOOKUP(Table1[[#This Row],[ID]],tabel_data_mentah,3,FALSE)</f>
        <v>P-04</v>
      </c>
      <c r="D46" s="8" t="str">
        <f>VLOOKUP(Table1[[#This Row],[Kode Produk]],tabel_referensi,2,FALSE)</f>
        <v>Monitor 27 Inch</v>
      </c>
      <c r="E46" s="9">
        <f>VLOOKUP(Table1[[#This Row],[Kode Produk]],tabel_referensi,3,FALSE)</f>
        <v>2100000</v>
      </c>
      <c r="F46" s="8" t="str">
        <f>VLOOKUP(Table1[[#This Row],[Kode Produk]],tabel_referensi,4,FALSE)</f>
        <v>Komputer</v>
      </c>
      <c r="G46" s="10">
        <f>INDEX('Data Mentah'!$D$2:$D$101,MATCH(Table1[[#This Row],[Kode Produk]],'Data Mentah'!$C$2:$C$101,0))</f>
        <v>45058</v>
      </c>
      <c r="H46" s="8">
        <f>INDEX('Data Mentah'!$E$2:$E$101,MATCH(Table1[[#This Row],[Kode Produk]],'Data Mentah'!$C$2:$C$101,0))</f>
        <v>2</v>
      </c>
      <c r="I46" s="9">
        <f>Table1[[#This Row],[Harga Satuan]]*Table1[[#This Row],[Quantity]]</f>
        <v>4200000</v>
      </c>
      <c r="J46" s="8" t="str">
        <f>VLOOKUP(Table1[[#This Row],[ID]],tabel_data_mentah,6,FALSE)</f>
        <v>Tidak</v>
      </c>
      <c r="K46" s="11" t="str">
        <f>IF(AND(Table1[[#This Row],[Member]]="Ya",Table1[[#This Row],[Total Harga]]&gt;1000000),"10%","0%")</f>
        <v>0%</v>
      </c>
      <c r="L46" s="9">
        <f>Table1[[#This Row],[Status Diskon]]*Table1[[#This Row],[Total Harga]]</f>
        <v>0</v>
      </c>
      <c r="M46" s="9">
        <f>Table1[[#This Row],[Total Harga]]-Table1[[#This Row],[Nominal Diskon]]</f>
        <v>4200000</v>
      </c>
    </row>
    <row r="47" spans="1:13" x14ac:dyDescent="0.6">
      <c r="A47" s="30" t="s">
        <v>81</v>
      </c>
      <c r="B47" s="8" t="str">
        <f>PROPER(TRIM(VLOOKUP(Table1[[#This Row],[ID]],tabel_data_mentah,2,FALSE)))</f>
        <v>Oki Setiana</v>
      </c>
      <c r="C47" s="8" t="str">
        <f>VLOOKUP(Table1[[#This Row],[ID]],tabel_data_mentah,3,FALSE)</f>
        <v>P-05</v>
      </c>
      <c r="D47" s="8" t="str">
        <f>VLOOKUP(Table1[[#This Row],[Kode Produk]],tabel_referensi,2,FALSE)</f>
        <v>Flashdisk 64GB</v>
      </c>
      <c r="E47" s="9">
        <f>VLOOKUP(Table1[[#This Row],[Kode Produk]],tabel_referensi,3,FALSE)</f>
        <v>95000</v>
      </c>
      <c r="F47" s="8" t="str">
        <f>VLOOKUP(Table1[[#This Row],[Kode Produk]],tabel_referensi,4,FALSE)</f>
        <v>Aksesoris</v>
      </c>
      <c r="G47" s="10">
        <f>INDEX('Data Mentah'!$D$2:$D$101,MATCH(Table1[[#This Row],[Kode Produk]],'Data Mentah'!$C$2:$C$101,0))</f>
        <v>45097</v>
      </c>
      <c r="H47" s="8">
        <f>INDEX('Data Mentah'!$E$2:$E$101,MATCH(Table1[[#This Row],[Kode Produk]],'Data Mentah'!$C$2:$C$101,0))</f>
        <v>5</v>
      </c>
      <c r="I47" s="9">
        <f>Table1[[#This Row],[Harga Satuan]]*Table1[[#This Row],[Quantity]]</f>
        <v>475000</v>
      </c>
      <c r="J47" s="8" t="str">
        <f>VLOOKUP(Table1[[#This Row],[ID]],tabel_data_mentah,6,FALSE)</f>
        <v>Ya</v>
      </c>
      <c r="K47" s="11" t="str">
        <f>IF(AND(Table1[[#This Row],[Member]]="Ya",Table1[[#This Row],[Total Harga]]&gt;1000000),"10%","0%")</f>
        <v>0%</v>
      </c>
      <c r="L47" s="9">
        <f>Table1[[#This Row],[Status Diskon]]*Table1[[#This Row],[Total Harga]]</f>
        <v>0</v>
      </c>
      <c r="M47" s="9">
        <f>Table1[[#This Row],[Total Harga]]-Table1[[#This Row],[Nominal Diskon]]</f>
        <v>475000</v>
      </c>
    </row>
    <row r="48" spans="1:13" x14ac:dyDescent="0.6">
      <c r="A48" s="30" t="s">
        <v>82</v>
      </c>
      <c r="B48" s="8" t="str">
        <f>PROPER(TRIM(VLOOKUP(Table1[[#This Row],[ID]],tabel_data_mentah,2,FALSE)))</f>
        <v>Putri Titian</v>
      </c>
      <c r="C48" s="8" t="str">
        <f>VLOOKUP(Table1[[#This Row],[ID]],tabel_data_mentah,3,FALSE)</f>
        <v>P-01</v>
      </c>
      <c r="D48" s="8" t="str">
        <f>VLOOKUP(Table1[[#This Row],[Kode Produk]],tabel_referensi,2,FALSE)</f>
        <v>Laptop Pro 14</v>
      </c>
      <c r="E48" s="9">
        <f>VLOOKUP(Table1[[#This Row],[Kode Produk]],tabel_referensi,3,FALSE)</f>
        <v>12500000</v>
      </c>
      <c r="F48" s="8" t="str">
        <f>VLOOKUP(Table1[[#This Row],[Kode Produk]],tabel_referensi,4,FALSE)</f>
        <v>Komputer</v>
      </c>
      <c r="G48" s="10">
        <f>INDEX('Data Mentah'!$D$2:$D$101,MATCH(Table1[[#This Row],[Kode Produk]],'Data Mentah'!$C$2:$C$101,0))</f>
        <v>44938</v>
      </c>
      <c r="H48" s="8">
        <f>INDEX('Data Mentah'!$E$2:$E$101,MATCH(Table1[[#This Row],[Kode Produk]],'Data Mentah'!$C$2:$C$101,0))</f>
        <v>2</v>
      </c>
      <c r="I48" s="9">
        <f>Table1[[#This Row],[Harga Satuan]]*Table1[[#This Row],[Quantity]]</f>
        <v>25000000</v>
      </c>
      <c r="J48" s="8" t="str">
        <f>VLOOKUP(Table1[[#This Row],[ID]],tabel_data_mentah,6,FALSE)</f>
        <v>Tidak</v>
      </c>
      <c r="K48" s="11" t="str">
        <f>IF(AND(Table1[[#This Row],[Member]]="Ya",Table1[[#This Row],[Total Harga]]&gt;1000000),"10%","0%")</f>
        <v>0%</v>
      </c>
      <c r="L48" s="9">
        <f>Table1[[#This Row],[Status Diskon]]*Table1[[#This Row],[Total Harga]]</f>
        <v>0</v>
      </c>
      <c r="M48" s="9">
        <f>Table1[[#This Row],[Total Harga]]-Table1[[#This Row],[Nominal Diskon]]</f>
        <v>25000000</v>
      </c>
    </row>
    <row r="49" spans="1:13" x14ac:dyDescent="0.6">
      <c r="A49" s="30" t="s">
        <v>83</v>
      </c>
      <c r="B49" s="8" t="str">
        <f>PROPER(TRIM(VLOOKUP(Table1[[#This Row],[ID]],tabel_data_mentah,2,FALSE)))</f>
        <v>Qory Sandioriva</v>
      </c>
      <c r="C49" s="8" t="str">
        <f>VLOOKUP(Table1[[#This Row],[ID]],tabel_data_mentah,3,FALSE)</f>
        <v>P-02</v>
      </c>
      <c r="D49" s="8" t="str">
        <f>VLOOKUP(Table1[[#This Row],[Kode Produk]],tabel_referensi,2,FALSE)</f>
        <v>Mouse Wireless</v>
      </c>
      <c r="E49" s="9">
        <f>VLOOKUP(Table1[[#This Row],[Kode Produk]],tabel_referensi,3,FALSE)</f>
        <v>150000</v>
      </c>
      <c r="F49" s="8" t="str">
        <f>VLOOKUP(Table1[[#This Row],[Kode Produk]],tabel_referensi,4,FALSE)</f>
        <v>Aksesoris</v>
      </c>
      <c r="G49" s="10">
        <f>INDEX('Data Mentah'!$D$2:$D$101,MATCH(Table1[[#This Row],[Kode Produk]],'Data Mentah'!$C$2:$C$101,0))</f>
        <v>44972</v>
      </c>
      <c r="H49" s="8">
        <f>INDEX('Data Mentah'!$E$2:$E$101,MATCH(Table1[[#This Row],[Kode Produk]],'Data Mentah'!$C$2:$C$101,0))</f>
        <v>1</v>
      </c>
      <c r="I49" s="9">
        <f>Table1[[#This Row],[Harga Satuan]]*Table1[[#This Row],[Quantity]]</f>
        <v>150000</v>
      </c>
      <c r="J49" s="8" t="str">
        <f>VLOOKUP(Table1[[#This Row],[ID]],tabel_data_mentah,6,FALSE)</f>
        <v>Ya</v>
      </c>
      <c r="K49" s="11" t="str">
        <f>IF(AND(Table1[[#This Row],[Member]]="Ya",Table1[[#This Row],[Total Harga]]&gt;1000000),"10%","0%")</f>
        <v>0%</v>
      </c>
      <c r="L49" s="9">
        <f>Table1[[#This Row],[Status Diskon]]*Table1[[#This Row],[Total Harga]]</f>
        <v>0</v>
      </c>
      <c r="M49" s="9">
        <f>Table1[[#This Row],[Total Harga]]-Table1[[#This Row],[Nominal Diskon]]</f>
        <v>150000</v>
      </c>
    </row>
    <row r="50" spans="1:13" x14ac:dyDescent="0.6">
      <c r="A50" s="30" t="s">
        <v>84</v>
      </c>
      <c r="B50" s="8" t="str">
        <f>PROPER(TRIM(VLOOKUP(Table1[[#This Row],[ID]],tabel_data_mentah,2,FALSE)))</f>
        <v>Reza Rahardian</v>
      </c>
      <c r="C50" s="8" t="str">
        <f>VLOOKUP(Table1[[#This Row],[ID]],tabel_data_mentah,3,FALSE)</f>
        <v>P-03</v>
      </c>
      <c r="D50" s="8" t="str">
        <f>VLOOKUP(Table1[[#This Row],[Kode Produk]],tabel_referensi,2,FALSE)</f>
        <v>Keyboard Mechanical</v>
      </c>
      <c r="E50" s="9">
        <f>VLOOKUP(Table1[[#This Row],[Kode Produk]],tabel_referensi,3,FALSE)</f>
        <v>450000</v>
      </c>
      <c r="F50" s="8" t="str">
        <f>VLOOKUP(Table1[[#This Row],[Kode Produk]],tabel_referensi,4,FALSE)</f>
        <v>Aksesoris</v>
      </c>
      <c r="G50" s="10">
        <f>INDEX('Data Mentah'!$D$2:$D$101,MATCH(Table1[[#This Row],[Kode Produk]],'Data Mentah'!$C$2:$C$101,0))</f>
        <v>44995</v>
      </c>
      <c r="H50" s="8">
        <f>INDEX('Data Mentah'!$E$2:$E$101,MATCH(Table1[[#This Row],[Kode Produk]],'Data Mentah'!$C$2:$C$101,0))</f>
        <v>3</v>
      </c>
      <c r="I50" s="9">
        <f>Table1[[#This Row],[Harga Satuan]]*Table1[[#This Row],[Quantity]]</f>
        <v>1350000</v>
      </c>
      <c r="J50" s="8" t="str">
        <f>VLOOKUP(Table1[[#This Row],[ID]],tabel_data_mentah,6,FALSE)</f>
        <v>Tidak</v>
      </c>
      <c r="K50" s="11" t="str">
        <f>IF(AND(Table1[[#This Row],[Member]]="Ya",Table1[[#This Row],[Total Harga]]&gt;1000000),"10%","0%")</f>
        <v>0%</v>
      </c>
      <c r="L50" s="9">
        <f>Table1[[#This Row],[Status Diskon]]*Table1[[#This Row],[Total Harga]]</f>
        <v>0</v>
      </c>
      <c r="M50" s="9">
        <f>Table1[[#This Row],[Total Harga]]-Table1[[#This Row],[Nominal Diskon]]</f>
        <v>1350000</v>
      </c>
    </row>
    <row r="51" spans="1:13" x14ac:dyDescent="0.6">
      <c r="A51" s="30" t="s">
        <v>85</v>
      </c>
      <c r="B51" s="8" t="str">
        <f>PROPER(TRIM(VLOOKUP(Table1[[#This Row],[ID]],tabel_data_mentah,2,FALSE)))</f>
        <v>Sisca Soewitomo</v>
      </c>
      <c r="C51" s="8" t="str">
        <f>VLOOKUP(Table1[[#This Row],[ID]],tabel_data_mentah,3,FALSE)</f>
        <v>P-04</v>
      </c>
      <c r="D51" s="8" t="str">
        <f>VLOOKUP(Table1[[#This Row],[Kode Produk]],tabel_referensi,2,FALSE)</f>
        <v>Monitor 27 Inch</v>
      </c>
      <c r="E51" s="9">
        <f>VLOOKUP(Table1[[#This Row],[Kode Produk]],tabel_referensi,3,FALSE)</f>
        <v>2100000</v>
      </c>
      <c r="F51" s="8" t="str">
        <f>VLOOKUP(Table1[[#This Row],[Kode Produk]],tabel_referensi,4,FALSE)</f>
        <v>Komputer</v>
      </c>
      <c r="G51" s="10">
        <f>INDEX('Data Mentah'!$D$2:$D$101,MATCH(Table1[[#This Row],[Kode Produk]],'Data Mentah'!$C$2:$C$101,0))</f>
        <v>45058</v>
      </c>
      <c r="H51" s="8">
        <f>INDEX('Data Mentah'!$E$2:$E$101,MATCH(Table1[[#This Row],[Kode Produk]],'Data Mentah'!$C$2:$C$101,0))</f>
        <v>2</v>
      </c>
      <c r="I51" s="9">
        <f>Table1[[#This Row],[Harga Satuan]]*Table1[[#This Row],[Quantity]]</f>
        <v>4200000</v>
      </c>
      <c r="J51" s="8" t="str">
        <f>VLOOKUP(Table1[[#This Row],[ID]],tabel_data_mentah,6,FALSE)</f>
        <v>Ya</v>
      </c>
      <c r="K51" s="11" t="str">
        <f>IF(AND(Table1[[#This Row],[Member]]="Ya",Table1[[#This Row],[Total Harga]]&gt;1000000),"10%","0%")</f>
        <v>10%</v>
      </c>
      <c r="L51" s="9">
        <f>Table1[[#This Row],[Status Diskon]]*Table1[[#This Row],[Total Harga]]</f>
        <v>420000</v>
      </c>
      <c r="M51" s="9">
        <f>Table1[[#This Row],[Total Harga]]-Table1[[#This Row],[Nominal Diskon]]</f>
        <v>3780000</v>
      </c>
    </row>
    <row r="52" spans="1:13" x14ac:dyDescent="0.6">
      <c r="A52" s="30" t="s">
        <v>86</v>
      </c>
      <c r="B52" s="8" t="str">
        <f>PROPER(TRIM(VLOOKUP(Table1[[#This Row],[ID]],tabel_data_mentah,2,FALSE)))</f>
        <v>Tora Sudiro</v>
      </c>
      <c r="C52" s="8" t="str">
        <f>VLOOKUP(Table1[[#This Row],[ID]],tabel_data_mentah,3,FALSE)</f>
        <v>P-05</v>
      </c>
      <c r="D52" s="8" t="str">
        <f>VLOOKUP(Table1[[#This Row],[Kode Produk]],tabel_referensi,2,FALSE)</f>
        <v>Flashdisk 64GB</v>
      </c>
      <c r="E52" s="9">
        <f>VLOOKUP(Table1[[#This Row],[Kode Produk]],tabel_referensi,3,FALSE)</f>
        <v>95000</v>
      </c>
      <c r="F52" s="8" t="str">
        <f>VLOOKUP(Table1[[#This Row],[Kode Produk]],tabel_referensi,4,FALSE)</f>
        <v>Aksesoris</v>
      </c>
      <c r="G52" s="10">
        <f>INDEX('Data Mentah'!$D$2:$D$101,MATCH(Table1[[#This Row],[Kode Produk]],'Data Mentah'!$C$2:$C$101,0))</f>
        <v>45097</v>
      </c>
      <c r="H52" s="8">
        <f>INDEX('Data Mentah'!$E$2:$E$101,MATCH(Table1[[#This Row],[Kode Produk]],'Data Mentah'!$C$2:$C$101,0))</f>
        <v>5</v>
      </c>
      <c r="I52" s="9">
        <f>Table1[[#This Row],[Harga Satuan]]*Table1[[#This Row],[Quantity]]</f>
        <v>475000</v>
      </c>
      <c r="J52" s="8" t="str">
        <f>VLOOKUP(Table1[[#This Row],[ID]],tabel_data_mentah,6,FALSE)</f>
        <v>Tidak</v>
      </c>
      <c r="K52" s="11" t="str">
        <f>IF(AND(Table1[[#This Row],[Member]]="Ya",Table1[[#This Row],[Total Harga]]&gt;1000000),"10%","0%")</f>
        <v>0%</v>
      </c>
      <c r="L52" s="9">
        <f>Table1[[#This Row],[Status Diskon]]*Table1[[#This Row],[Total Harga]]</f>
        <v>0</v>
      </c>
      <c r="M52" s="9">
        <f>Table1[[#This Row],[Total Harga]]-Table1[[#This Row],[Nominal Diskon]]</f>
        <v>475000</v>
      </c>
    </row>
    <row r="53" spans="1:13" x14ac:dyDescent="0.6">
      <c r="A53" s="30" t="s">
        <v>87</v>
      </c>
      <c r="B53" s="8" t="str">
        <f>PROPER(TRIM(VLOOKUP(Table1[[#This Row],[ID]],tabel_data_mentah,2,FALSE)))</f>
        <v>Umay Shahab</v>
      </c>
      <c r="C53" s="8" t="str">
        <f>VLOOKUP(Table1[[#This Row],[ID]],tabel_data_mentah,3,FALSE)</f>
        <v>P-01</v>
      </c>
      <c r="D53" s="8" t="str">
        <f>VLOOKUP(Table1[[#This Row],[Kode Produk]],tabel_referensi,2,FALSE)</f>
        <v>Laptop Pro 14</v>
      </c>
      <c r="E53" s="9">
        <f>VLOOKUP(Table1[[#This Row],[Kode Produk]],tabel_referensi,3,FALSE)</f>
        <v>12500000</v>
      </c>
      <c r="F53" s="8" t="str">
        <f>VLOOKUP(Table1[[#This Row],[Kode Produk]],tabel_referensi,4,FALSE)</f>
        <v>Komputer</v>
      </c>
      <c r="G53" s="10">
        <f>INDEX('Data Mentah'!$D$2:$D$101,MATCH(Table1[[#This Row],[Kode Produk]],'Data Mentah'!$C$2:$C$101,0))</f>
        <v>44938</v>
      </c>
      <c r="H53" s="8">
        <f>INDEX('Data Mentah'!$E$2:$E$101,MATCH(Table1[[#This Row],[Kode Produk]],'Data Mentah'!$C$2:$C$101,0))</f>
        <v>2</v>
      </c>
      <c r="I53" s="9">
        <f>Table1[[#This Row],[Harga Satuan]]*Table1[[#This Row],[Quantity]]</f>
        <v>25000000</v>
      </c>
      <c r="J53" s="8" t="str">
        <f>VLOOKUP(Table1[[#This Row],[ID]],tabel_data_mentah,6,FALSE)</f>
        <v>Ya</v>
      </c>
      <c r="K53" s="11" t="str">
        <f>IF(AND(Table1[[#This Row],[Member]]="Ya",Table1[[#This Row],[Total Harga]]&gt;1000000),"10%","0%")</f>
        <v>10%</v>
      </c>
      <c r="L53" s="9">
        <f>Table1[[#This Row],[Status Diskon]]*Table1[[#This Row],[Total Harga]]</f>
        <v>2500000</v>
      </c>
      <c r="M53" s="9">
        <f>Table1[[#This Row],[Total Harga]]-Table1[[#This Row],[Nominal Diskon]]</f>
        <v>22500000</v>
      </c>
    </row>
    <row r="54" spans="1:13" x14ac:dyDescent="0.6">
      <c r="A54" s="30" t="s">
        <v>88</v>
      </c>
      <c r="B54" s="8" t="str">
        <f>PROPER(TRIM(VLOOKUP(Table1[[#This Row],[ID]],tabel_data_mentah,2,FALSE)))</f>
        <v>Budi Santoso</v>
      </c>
      <c r="C54" s="8" t="str">
        <f>VLOOKUP(Table1[[#This Row],[ID]],tabel_data_mentah,3,FALSE)</f>
        <v>P-03</v>
      </c>
      <c r="D54" s="8" t="str">
        <f>VLOOKUP(Table1[[#This Row],[Kode Produk]],tabel_referensi,2,FALSE)</f>
        <v>Keyboard Mechanical</v>
      </c>
      <c r="E54" s="9">
        <f>VLOOKUP(Table1[[#This Row],[Kode Produk]],tabel_referensi,3,FALSE)</f>
        <v>450000</v>
      </c>
      <c r="F54" s="8" t="str">
        <f>VLOOKUP(Table1[[#This Row],[Kode Produk]],tabel_referensi,4,FALSE)</f>
        <v>Aksesoris</v>
      </c>
      <c r="G54" s="10">
        <f>INDEX('Data Mentah'!$D$2:$D$101,MATCH(Table1[[#This Row],[Kode Produk]],'Data Mentah'!$C$2:$C$101,0))</f>
        <v>44995</v>
      </c>
      <c r="H54" s="8">
        <f>INDEX('Data Mentah'!$E$2:$E$101,MATCH(Table1[[#This Row],[Kode Produk]],'Data Mentah'!$C$2:$C$101,0))</f>
        <v>3</v>
      </c>
      <c r="I54" s="9">
        <f>Table1[[#This Row],[Harga Satuan]]*Table1[[#This Row],[Quantity]]</f>
        <v>1350000</v>
      </c>
      <c r="J54" s="8" t="str">
        <f>VLOOKUP(Table1[[#This Row],[ID]],tabel_data_mentah,6,FALSE)</f>
        <v>Ya</v>
      </c>
      <c r="K54" s="11" t="str">
        <f>IF(AND(Table1[[#This Row],[Member]]="Ya",Table1[[#This Row],[Total Harga]]&gt;1000000),"10%","0%")</f>
        <v>10%</v>
      </c>
      <c r="L54" s="9">
        <f>Table1[[#This Row],[Status Diskon]]*Table1[[#This Row],[Total Harga]]</f>
        <v>135000</v>
      </c>
      <c r="M54" s="9">
        <f>Table1[[#This Row],[Total Harga]]-Table1[[#This Row],[Nominal Diskon]]</f>
        <v>1215000</v>
      </c>
    </row>
    <row r="55" spans="1:13" x14ac:dyDescent="0.6">
      <c r="A55" s="30" t="s">
        <v>89</v>
      </c>
      <c r="B55" s="8" t="str">
        <f>PROPER(TRIM(VLOOKUP(Table1[[#This Row],[ID]],tabel_data_mentah,2,FALSE)))</f>
        <v>Siti Aminah</v>
      </c>
      <c r="C55" s="8" t="str">
        <f>VLOOKUP(Table1[[#This Row],[ID]],tabel_data_mentah,3,FALSE)</f>
        <v>P-04</v>
      </c>
      <c r="D55" s="8" t="str">
        <f>VLOOKUP(Table1[[#This Row],[Kode Produk]],tabel_referensi,2,FALSE)</f>
        <v>Monitor 27 Inch</v>
      </c>
      <c r="E55" s="9">
        <f>VLOOKUP(Table1[[#This Row],[Kode Produk]],tabel_referensi,3,FALSE)</f>
        <v>2100000</v>
      </c>
      <c r="F55" s="8" t="str">
        <f>VLOOKUP(Table1[[#This Row],[Kode Produk]],tabel_referensi,4,FALSE)</f>
        <v>Komputer</v>
      </c>
      <c r="G55" s="10">
        <f>INDEX('Data Mentah'!$D$2:$D$101,MATCH(Table1[[#This Row],[Kode Produk]],'Data Mentah'!$C$2:$C$101,0))</f>
        <v>45058</v>
      </c>
      <c r="H55" s="8">
        <f>INDEX('Data Mentah'!$E$2:$E$101,MATCH(Table1[[#This Row],[Kode Produk]],'Data Mentah'!$C$2:$C$101,0))</f>
        <v>2</v>
      </c>
      <c r="I55" s="9">
        <f>Table1[[#This Row],[Harga Satuan]]*Table1[[#This Row],[Quantity]]</f>
        <v>4200000</v>
      </c>
      <c r="J55" s="8" t="str">
        <f>VLOOKUP(Table1[[#This Row],[ID]],tabel_data_mentah,6,FALSE)</f>
        <v>Tidak</v>
      </c>
      <c r="K55" s="11" t="str">
        <f>IF(AND(Table1[[#This Row],[Member]]="Ya",Table1[[#This Row],[Total Harga]]&gt;1000000),"10%","0%")</f>
        <v>0%</v>
      </c>
      <c r="L55" s="9">
        <f>Table1[[#This Row],[Status Diskon]]*Table1[[#This Row],[Total Harga]]</f>
        <v>0</v>
      </c>
      <c r="M55" s="9">
        <f>Table1[[#This Row],[Total Harga]]-Table1[[#This Row],[Nominal Diskon]]</f>
        <v>4200000</v>
      </c>
    </row>
    <row r="56" spans="1:13" x14ac:dyDescent="0.6">
      <c r="A56" s="30" t="s">
        <v>90</v>
      </c>
      <c r="B56" s="8" t="str">
        <f>PROPER(TRIM(VLOOKUP(Table1[[#This Row],[ID]],tabel_data_mentah,2,FALSE)))</f>
        <v>Andi Wijaya</v>
      </c>
      <c r="C56" s="8" t="str">
        <f>VLOOKUP(Table1[[#This Row],[ID]],tabel_data_mentah,3,FALSE)</f>
        <v>P-05</v>
      </c>
      <c r="D56" s="8" t="str">
        <f>VLOOKUP(Table1[[#This Row],[Kode Produk]],tabel_referensi,2,FALSE)</f>
        <v>Flashdisk 64GB</v>
      </c>
      <c r="E56" s="9">
        <f>VLOOKUP(Table1[[#This Row],[Kode Produk]],tabel_referensi,3,FALSE)</f>
        <v>95000</v>
      </c>
      <c r="F56" s="8" t="str">
        <f>VLOOKUP(Table1[[#This Row],[Kode Produk]],tabel_referensi,4,FALSE)</f>
        <v>Aksesoris</v>
      </c>
      <c r="G56" s="10">
        <f>INDEX('Data Mentah'!$D$2:$D$101,MATCH(Table1[[#This Row],[Kode Produk]],'Data Mentah'!$C$2:$C$101,0))</f>
        <v>45097</v>
      </c>
      <c r="H56" s="8">
        <f>INDEX('Data Mentah'!$E$2:$E$101,MATCH(Table1[[#This Row],[Kode Produk]],'Data Mentah'!$C$2:$C$101,0))</f>
        <v>5</v>
      </c>
      <c r="I56" s="9">
        <f>Table1[[#This Row],[Harga Satuan]]*Table1[[#This Row],[Quantity]]</f>
        <v>475000</v>
      </c>
      <c r="J56" s="8" t="str">
        <f>VLOOKUP(Table1[[#This Row],[ID]],tabel_data_mentah,6,FALSE)</f>
        <v>Ya</v>
      </c>
      <c r="K56" s="11" t="str">
        <f>IF(AND(Table1[[#This Row],[Member]]="Ya",Table1[[#This Row],[Total Harga]]&gt;1000000),"10%","0%")</f>
        <v>0%</v>
      </c>
      <c r="L56" s="9">
        <f>Table1[[#This Row],[Status Diskon]]*Table1[[#This Row],[Total Harga]]</f>
        <v>0</v>
      </c>
      <c r="M56" s="9">
        <f>Table1[[#This Row],[Total Harga]]-Table1[[#This Row],[Nominal Diskon]]</f>
        <v>475000</v>
      </c>
    </row>
    <row r="57" spans="1:13" x14ac:dyDescent="0.6">
      <c r="A57" s="30" t="s">
        <v>91</v>
      </c>
      <c r="B57" s="8" t="str">
        <f>PROPER(TRIM(VLOOKUP(Table1[[#This Row],[ID]],tabel_data_mentah,2,FALSE)))</f>
        <v>Dewi Lestari</v>
      </c>
      <c r="C57" s="8" t="str">
        <f>VLOOKUP(Table1[[#This Row],[ID]],tabel_data_mentah,3,FALSE)</f>
        <v>P-01</v>
      </c>
      <c r="D57" s="8" t="str">
        <f>VLOOKUP(Table1[[#This Row],[Kode Produk]],tabel_referensi,2,FALSE)</f>
        <v>Laptop Pro 14</v>
      </c>
      <c r="E57" s="9">
        <f>VLOOKUP(Table1[[#This Row],[Kode Produk]],tabel_referensi,3,FALSE)</f>
        <v>12500000</v>
      </c>
      <c r="F57" s="8" t="str">
        <f>VLOOKUP(Table1[[#This Row],[Kode Produk]],tabel_referensi,4,FALSE)</f>
        <v>Komputer</v>
      </c>
      <c r="G57" s="10">
        <f>INDEX('Data Mentah'!$D$2:$D$101,MATCH(Table1[[#This Row],[Kode Produk]],'Data Mentah'!$C$2:$C$101,0))</f>
        <v>44938</v>
      </c>
      <c r="H57" s="8">
        <f>INDEX('Data Mentah'!$E$2:$E$101,MATCH(Table1[[#This Row],[Kode Produk]],'Data Mentah'!$C$2:$C$101,0))</f>
        <v>2</v>
      </c>
      <c r="I57" s="9">
        <f>Table1[[#This Row],[Harga Satuan]]*Table1[[#This Row],[Quantity]]</f>
        <v>25000000</v>
      </c>
      <c r="J57" s="8" t="str">
        <f>VLOOKUP(Table1[[#This Row],[ID]],tabel_data_mentah,6,FALSE)</f>
        <v>Tidak</v>
      </c>
      <c r="K57" s="11" t="str">
        <f>IF(AND(Table1[[#This Row],[Member]]="Ya",Table1[[#This Row],[Total Harga]]&gt;1000000),"10%","0%")</f>
        <v>0%</v>
      </c>
      <c r="L57" s="9">
        <f>Table1[[#This Row],[Status Diskon]]*Table1[[#This Row],[Total Harga]]</f>
        <v>0</v>
      </c>
      <c r="M57" s="9">
        <f>Table1[[#This Row],[Total Harga]]-Table1[[#This Row],[Nominal Diskon]]</f>
        <v>25000000</v>
      </c>
    </row>
    <row r="58" spans="1:13" x14ac:dyDescent="0.6">
      <c r="A58" s="30" t="s">
        <v>92</v>
      </c>
      <c r="B58" s="8" t="str">
        <f>PROPER(TRIM(VLOOKUP(Table1[[#This Row],[ID]],tabel_data_mentah,2,FALSE)))</f>
        <v>Eko Prasetyo</v>
      </c>
      <c r="C58" s="8" t="str">
        <f>VLOOKUP(Table1[[#This Row],[ID]],tabel_data_mentah,3,FALSE)</f>
        <v>P-02</v>
      </c>
      <c r="D58" s="8" t="str">
        <f>VLOOKUP(Table1[[#This Row],[Kode Produk]],tabel_referensi,2,FALSE)</f>
        <v>Mouse Wireless</v>
      </c>
      <c r="E58" s="9">
        <f>VLOOKUP(Table1[[#This Row],[Kode Produk]],tabel_referensi,3,FALSE)</f>
        <v>150000</v>
      </c>
      <c r="F58" s="8" t="str">
        <f>VLOOKUP(Table1[[#This Row],[Kode Produk]],tabel_referensi,4,FALSE)</f>
        <v>Aksesoris</v>
      </c>
      <c r="G58" s="10">
        <f>INDEX('Data Mentah'!$D$2:$D$101,MATCH(Table1[[#This Row],[Kode Produk]],'Data Mentah'!$C$2:$C$101,0))</f>
        <v>44972</v>
      </c>
      <c r="H58" s="8">
        <f>INDEX('Data Mentah'!$E$2:$E$101,MATCH(Table1[[#This Row],[Kode Produk]],'Data Mentah'!$C$2:$C$101,0))</f>
        <v>1</v>
      </c>
      <c r="I58" s="9">
        <f>Table1[[#This Row],[Harga Satuan]]*Table1[[#This Row],[Quantity]]</f>
        <v>150000</v>
      </c>
      <c r="J58" s="8" t="str">
        <f>VLOOKUP(Table1[[#This Row],[ID]],tabel_data_mentah,6,FALSE)</f>
        <v>Ya</v>
      </c>
      <c r="K58" s="11" t="str">
        <f>IF(AND(Table1[[#This Row],[Member]]="Ya",Table1[[#This Row],[Total Harga]]&gt;1000000),"10%","0%")</f>
        <v>0%</v>
      </c>
      <c r="L58" s="9">
        <f>Table1[[#This Row],[Status Diskon]]*Table1[[#This Row],[Total Harga]]</f>
        <v>0</v>
      </c>
      <c r="M58" s="9">
        <f>Table1[[#This Row],[Total Harga]]-Table1[[#This Row],[Nominal Diskon]]</f>
        <v>150000</v>
      </c>
    </row>
    <row r="59" spans="1:13" x14ac:dyDescent="0.6">
      <c r="A59" s="30" t="s">
        <v>93</v>
      </c>
      <c r="B59" s="8" t="str">
        <f>PROPER(TRIM(VLOOKUP(Table1[[#This Row],[ID]],tabel_data_mentah,2,FALSE)))</f>
        <v>Rina Mr</v>
      </c>
      <c r="C59" s="8" t="str">
        <f>VLOOKUP(Table1[[#This Row],[ID]],tabel_data_mentah,3,FALSE)</f>
        <v>P-03</v>
      </c>
      <c r="D59" s="8" t="str">
        <f>VLOOKUP(Table1[[#This Row],[Kode Produk]],tabel_referensi,2,FALSE)</f>
        <v>Keyboard Mechanical</v>
      </c>
      <c r="E59" s="9">
        <f>VLOOKUP(Table1[[#This Row],[Kode Produk]],tabel_referensi,3,FALSE)</f>
        <v>450000</v>
      </c>
      <c r="F59" s="8" t="str">
        <f>VLOOKUP(Table1[[#This Row],[Kode Produk]],tabel_referensi,4,FALSE)</f>
        <v>Aksesoris</v>
      </c>
      <c r="G59" s="10">
        <f>INDEX('Data Mentah'!$D$2:$D$101,MATCH(Table1[[#This Row],[Kode Produk]],'Data Mentah'!$C$2:$C$101,0))</f>
        <v>44995</v>
      </c>
      <c r="H59" s="8">
        <f>INDEX('Data Mentah'!$E$2:$E$101,MATCH(Table1[[#This Row],[Kode Produk]],'Data Mentah'!$C$2:$C$101,0))</f>
        <v>3</v>
      </c>
      <c r="I59" s="9">
        <f>Table1[[#This Row],[Harga Satuan]]*Table1[[#This Row],[Quantity]]</f>
        <v>1350000</v>
      </c>
      <c r="J59" s="8" t="str">
        <f>VLOOKUP(Table1[[#This Row],[ID]],tabel_data_mentah,6,FALSE)</f>
        <v>Tidak</v>
      </c>
      <c r="K59" s="11" t="str">
        <f>IF(AND(Table1[[#This Row],[Member]]="Ya",Table1[[#This Row],[Total Harga]]&gt;1000000),"10%","0%")</f>
        <v>0%</v>
      </c>
      <c r="L59" s="9">
        <f>Table1[[#This Row],[Status Diskon]]*Table1[[#This Row],[Total Harga]]</f>
        <v>0</v>
      </c>
      <c r="M59" s="9">
        <f>Table1[[#This Row],[Total Harga]]-Table1[[#This Row],[Nominal Diskon]]</f>
        <v>1350000</v>
      </c>
    </row>
    <row r="60" spans="1:13" x14ac:dyDescent="0.6">
      <c r="A60" s="30" t="s">
        <v>94</v>
      </c>
      <c r="B60" s="8" t="str">
        <f>PROPER(TRIM(VLOOKUP(Table1[[#This Row],[ID]],tabel_data_mentah,2,FALSE)))</f>
        <v>Agus Supriyadi</v>
      </c>
      <c r="C60" s="8" t="str">
        <f>VLOOKUP(Table1[[#This Row],[ID]],tabel_data_mentah,3,FALSE)</f>
        <v>P-04</v>
      </c>
      <c r="D60" s="8" t="str">
        <f>VLOOKUP(Table1[[#This Row],[Kode Produk]],tabel_referensi,2,FALSE)</f>
        <v>Monitor 27 Inch</v>
      </c>
      <c r="E60" s="9">
        <f>VLOOKUP(Table1[[#This Row],[Kode Produk]],tabel_referensi,3,FALSE)</f>
        <v>2100000</v>
      </c>
      <c r="F60" s="8" t="str">
        <f>VLOOKUP(Table1[[#This Row],[Kode Produk]],tabel_referensi,4,FALSE)</f>
        <v>Komputer</v>
      </c>
      <c r="G60" s="10">
        <f>INDEX('Data Mentah'!$D$2:$D$101,MATCH(Table1[[#This Row],[Kode Produk]],'Data Mentah'!$C$2:$C$101,0))</f>
        <v>45058</v>
      </c>
      <c r="H60" s="8">
        <f>INDEX('Data Mentah'!$E$2:$E$101,MATCH(Table1[[#This Row],[Kode Produk]],'Data Mentah'!$C$2:$C$101,0))</f>
        <v>2</v>
      </c>
      <c r="I60" s="9">
        <f>Table1[[#This Row],[Harga Satuan]]*Table1[[#This Row],[Quantity]]</f>
        <v>4200000</v>
      </c>
      <c r="J60" s="8" t="str">
        <f>VLOOKUP(Table1[[#This Row],[ID]],tabel_data_mentah,6,FALSE)</f>
        <v>Ya</v>
      </c>
      <c r="K60" s="11" t="str">
        <f>IF(AND(Table1[[#This Row],[Member]]="Ya",Table1[[#This Row],[Total Harga]]&gt;1000000),"10%","0%")</f>
        <v>10%</v>
      </c>
      <c r="L60" s="9">
        <f>Table1[[#This Row],[Status Diskon]]*Table1[[#This Row],[Total Harga]]</f>
        <v>420000</v>
      </c>
      <c r="M60" s="9">
        <f>Table1[[#This Row],[Total Harga]]-Table1[[#This Row],[Nominal Diskon]]</f>
        <v>3780000</v>
      </c>
    </row>
    <row r="61" spans="1:13" x14ac:dyDescent="0.6">
      <c r="A61" s="30" t="s">
        <v>95</v>
      </c>
      <c r="B61" s="8" t="str">
        <f>PROPER(TRIM(VLOOKUP(Table1[[#This Row],[ID]],tabel_data_mentah,2,FALSE)))</f>
        <v>Nina Herlina</v>
      </c>
      <c r="C61" s="8" t="str">
        <f>VLOOKUP(Table1[[#This Row],[ID]],tabel_data_mentah,3,FALSE)</f>
        <v>P-05</v>
      </c>
      <c r="D61" s="8" t="str">
        <f>VLOOKUP(Table1[[#This Row],[Kode Produk]],tabel_referensi,2,FALSE)</f>
        <v>Flashdisk 64GB</v>
      </c>
      <c r="E61" s="9">
        <f>VLOOKUP(Table1[[#This Row],[Kode Produk]],tabel_referensi,3,FALSE)</f>
        <v>95000</v>
      </c>
      <c r="F61" s="8" t="str">
        <f>VLOOKUP(Table1[[#This Row],[Kode Produk]],tabel_referensi,4,FALSE)</f>
        <v>Aksesoris</v>
      </c>
      <c r="G61" s="10">
        <f>INDEX('Data Mentah'!$D$2:$D$101,MATCH(Table1[[#This Row],[Kode Produk]],'Data Mentah'!$C$2:$C$101,0))</f>
        <v>45097</v>
      </c>
      <c r="H61" s="8">
        <f>INDEX('Data Mentah'!$E$2:$E$101,MATCH(Table1[[#This Row],[Kode Produk]],'Data Mentah'!$C$2:$C$101,0))</f>
        <v>5</v>
      </c>
      <c r="I61" s="9">
        <f>Table1[[#This Row],[Harga Satuan]]*Table1[[#This Row],[Quantity]]</f>
        <v>475000</v>
      </c>
      <c r="J61" s="8" t="str">
        <f>VLOOKUP(Table1[[#This Row],[ID]],tabel_data_mentah,6,FALSE)</f>
        <v>Tidak</v>
      </c>
      <c r="K61" s="11" t="str">
        <f>IF(AND(Table1[[#This Row],[Member]]="Ya",Table1[[#This Row],[Total Harga]]&gt;1000000),"10%","0%")</f>
        <v>0%</v>
      </c>
      <c r="L61" s="9">
        <f>Table1[[#This Row],[Status Diskon]]*Table1[[#This Row],[Total Harga]]</f>
        <v>0</v>
      </c>
      <c r="M61" s="9">
        <f>Table1[[#This Row],[Total Harga]]-Table1[[#This Row],[Nominal Diskon]]</f>
        <v>475000</v>
      </c>
    </row>
    <row r="62" spans="1:13" x14ac:dyDescent="0.6">
      <c r="A62" s="30" t="s">
        <v>96</v>
      </c>
      <c r="B62" s="8" t="str">
        <f>PROPER(TRIM(VLOOKUP(Table1[[#This Row],[ID]],tabel_data_mentah,2,FALSE)))</f>
        <v>Doni Salmanan</v>
      </c>
      <c r="C62" s="8" t="str">
        <f>VLOOKUP(Table1[[#This Row],[ID]],tabel_data_mentah,3,FALSE)</f>
        <v>P-01</v>
      </c>
      <c r="D62" s="8" t="str">
        <f>VLOOKUP(Table1[[#This Row],[Kode Produk]],tabel_referensi,2,FALSE)</f>
        <v>Laptop Pro 14</v>
      </c>
      <c r="E62" s="9">
        <f>VLOOKUP(Table1[[#This Row],[Kode Produk]],tabel_referensi,3,FALSE)</f>
        <v>12500000</v>
      </c>
      <c r="F62" s="8" t="str">
        <f>VLOOKUP(Table1[[#This Row],[Kode Produk]],tabel_referensi,4,FALSE)</f>
        <v>Komputer</v>
      </c>
      <c r="G62" s="10">
        <f>INDEX('Data Mentah'!$D$2:$D$101,MATCH(Table1[[#This Row],[Kode Produk]],'Data Mentah'!$C$2:$C$101,0))</f>
        <v>44938</v>
      </c>
      <c r="H62" s="8">
        <f>INDEX('Data Mentah'!$E$2:$E$101,MATCH(Table1[[#This Row],[Kode Produk]],'Data Mentah'!$C$2:$C$101,0))</f>
        <v>2</v>
      </c>
      <c r="I62" s="9">
        <f>Table1[[#This Row],[Harga Satuan]]*Table1[[#This Row],[Quantity]]</f>
        <v>25000000</v>
      </c>
      <c r="J62" s="8" t="str">
        <f>VLOOKUP(Table1[[#This Row],[ID]],tabel_data_mentah,6,FALSE)</f>
        <v>Ya</v>
      </c>
      <c r="K62" s="11" t="str">
        <f>IF(AND(Table1[[#This Row],[Member]]="Ya",Table1[[#This Row],[Total Harga]]&gt;1000000),"10%","0%")</f>
        <v>10%</v>
      </c>
      <c r="L62" s="9">
        <f>Table1[[#This Row],[Status Diskon]]*Table1[[#This Row],[Total Harga]]</f>
        <v>2500000</v>
      </c>
      <c r="M62" s="9">
        <f>Table1[[#This Row],[Total Harga]]-Table1[[#This Row],[Nominal Diskon]]</f>
        <v>22500000</v>
      </c>
    </row>
    <row r="63" spans="1:13" x14ac:dyDescent="0.6">
      <c r="A63" s="30" t="s">
        <v>97</v>
      </c>
      <c r="B63" s="8" t="str">
        <f>PROPER(TRIM(VLOOKUP(Table1[[#This Row],[ID]],tabel_data_mentah,2,FALSE)))</f>
        <v>Fajar Nugraha</v>
      </c>
      <c r="C63" s="8" t="str">
        <f>VLOOKUP(Table1[[#This Row],[ID]],tabel_data_mentah,3,FALSE)</f>
        <v>P-02</v>
      </c>
      <c r="D63" s="8" t="str">
        <f>VLOOKUP(Table1[[#This Row],[Kode Produk]],tabel_referensi,2,FALSE)</f>
        <v>Mouse Wireless</v>
      </c>
      <c r="E63" s="9">
        <f>VLOOKUP(Table1[[#This Row],[Kode Produk]],tabel_referensi,3,FALSE)</f>
        <v>150000</v>
      </c>
      <c r="F63" s="8" t="str">
        <f>VLOOKUP(Table1[[#This Row],[Kode Produk]],tabel_referensi,4,FALSE)</f>
        <v>Aksesoris</v>
      </c>
      <c r="G63" s="10">
        <f>INDEX('Data Mentah'!$D$2:$D$101,MATCH(Table1[[#This Row],[Kode Produk]],'Data Mentah'!$C$2:$C$101,0))</f>
        <v>44972</v>
      </c>
      <c r="H63" s="8">
        <f>INDEX('Data Mentah'!$E$2:$E$101,MATCH(Table1[[#This Row],[Kode Produk]],'Data Mentah'!$C$2:$C$101,0))</f>
        <v>1</v>
      </c>
      <c r="I63" s="9">
        <f>Table1[[#This Row],[Harga Satuan]]*Table1[[#This Row],[Quantity]]</f>
        <v>150000</v>
      </c>
      <c r="J63" s="8" t="str">
        <f>VLOOKUP(Table1[[#This Row],[ID]],tabel_data_mentah,6,FALSE)</f>
        <v>Tidak</v>
      </c>
      <c r="K63" s="11" t="str">
        <f>IF(AND(Table1[[#This Row],[Member]]="Ya",Table1[[#This Row],[Total Harga]]&gt;1000000),"10%","0%")</f>
        <v>0%</v>
      </c>
      <c r="L63" s="9">
        <f>Table1[[#This Row],[Status Diskon]]*Table1[[#This Row],[Total Harga]]</f>
        <v>0</v>
      </c>
      <c r="M63" s="9">
        <f>Table1[[#This Row],[Total Harga]]-Table1[[#This Row],[Nominal Diskon]]</f>
        <v>150000</v>
      </c>
    </row>
    <row r="64" spans="1:13" x14ac:dyDescent="0.6">
      <c r="A64" s="30" t="s">
        <v>98</v>
      </c>
      <c r="B64" s="8" t="str">
        <f>PROPER(TRIM(VLOOKUP(Table1[[#This Row],[ID]],tabel_data_mentah,2,FALSE)))</f>
        <v>Gina Sonia</v>
      </c>
      <c r="C64" s="8" t="str">
        <f>VLOOKUP(Table1[[#This Row],[ID]],tabel_data_mentah,3,FALSE)</f>
        <v>P-03</v>
      </c>
      <c r="D64" s="8" t="str">
        <f>VLOOKUP(Table1[[#This Row],[Kode Produk]],tabel_referensi,2,FALSE)</f>
        <v>Keyboard Mechanical</v>
      </c>
      <c r="E64" s="9">
        <f>VLOOKUP(Table1[[#This Row],[Kode Produk]],tabel_referensi,3,FALSE)</f>
        <v>450000</v>
      </c>
      <c r="F64" s="8" t="str">
        <f>VLOOKUP(Table1[[#This Row],[Kode Produk]],tabel_referensi,4,FALSE)</f>
        <v>Aksesoris</v>
      </c>
      <c r="G64" s="10">
        <f>INDEX('Data Mentah'!$D$2:$D$101,MATCH(Table1[[#This Row],[Kode Produk]],'Data Mentah'!$C$2:$C$101,0))</f>
        <v>44995</v>
      </c>
      <c r="H64" s="8">
        <f>INDEX('Data Mentah'!$E$2:$E$101,MATCH(Table1[[#This Row],[Kode Produk]],'Data Mentah'!$C$2:$C$101,0))</f>
        <v>3</v>
      </c>
      <c r="I64" s="9">
        <f>Table1[[#This Row],[Harga Satuan]]*Table1[[#This Row],[Quantity]]</f>
        <v>1350000</v>
      </c>
      <c r="J64" s="8" t="str">
        <f>VLOOKUP(Table1[[#This Row],[ID]],tabel_data_mentah,6,FALSE)</f>
        <v>Ya</v>
      </c>
      <c r="K64" s="11" t="str">
        <f>IF(AND(Table1[[#This Row],[Member]]="Ya",Table1[[#This Row],[Total Harga]]&gt;1000000),"10%","0%")</f>
        <v>10%</v>
      </c>
      <c r="L64" s="9">
        <f>Table1[[#This Row],[Status Diskon]]*Table1[[#This Row],[Total Harga]]</f>
        <v>135000</v>
      </c>
      <c r="M64" s="9">
        <f>Table1[[#This Row],[Total Harga]]-Table1[[#This Row],[Nominal Diskon]]</f>
        <v>1215000</v>
      </c>
    </row>
    <row r="65" spans="1:13" x14ac:dyDescent="0.6">
      <c r="A65" s="30" t="s">
        <v>99</v>
      </c>
      <c r="B65" s="8" t="str">
        <f>PROPER(TRIM(VLOOKUP(Table1[[#This Row],[ID]],tabel_data_mentah,2,FALSE)))</f>
        <v>Hendra Gunawan</v>
      </c>
      <c r="C65" s="8" t="str">
        <f>VLOOKUP(Table1[[#This Row],[ID]],tabel_data_mentah,3,FALSE)</f>
        <v>P-04</v>
      </c>
      <c r="D65" s="8" t="str">
        <f>VLOOKUP(Table1[[#This Row],[Kode Produk]],tabel_referensi,2,FALSE)</f>
        <v>Monitor 27 Inch</v>
      </c>
      <c r="E65" s="9">
        <f>VLOOKUP(Table1[[#This Row],[Kode Produk]],tabel_referensi,3,FALSE)</f>
        <v>2100000</v>
      </c>
      <c r="F65" s="8" t="str">
        <f>VLOOKUP(Table1[[#This Row],[Kode Produk]],tabel_referensi,4,FALSE)</f>
        <v>Komputer</v>
      </c>
      <c r="G65" s="10">
        <f>INDEX('Data Mentah'!$D$2:$D$101,MATCH(Table1[[#This Row],[Kode Produk]],'Data Mentah'!$C$2:$C$101,0))</f>
        <v>45058</v>
      </c>
      <c r="H65" s="8">
        <f>INDEX('Data Mentah'!$E$2:$E$101,MATCH(Table1[[#This Row],[Kode Produk]],'Data Mentah'!$C$2:$C$101,0))</f>
        <v>2</v>
      </c>
      <c r="I65" s="9">
        <f>Table1[[#This Row],[Harga Satuan]]*Table1[[#This Row],[Quantity]]</f>
        <v>4200000</v>
      </c>
      <c r="J65" s="8" t="str">
        <f>VLOOKUP(Table1[[#This Row],[ID]],tabel_data_mentah,6,FALSE)</f>
        <v>Tidak</v>
      </c>
      <c r="K65" s="11" t="str">
        <f>IF(AND(Table1[[#This Row],[Member]]="Ya",Table1[[#This Row],[Total Harga]]&gt;1000000),"10%","0%")</f>
        <v>0%</v>
      </c>
      <c r="L65" s="9">
        <f>Table1[[#This Row],[Status Diskon]]*Table1[[#This Row],[Total Harga]]</f>
        <v>0</v>
      </c>
      <c r="M65" s="9">
        <f>Table1[[#This Row],[Total Harga]]-Table1[[#This Row],[Nominal Diskon]]</f>
        <v>4200000</v>
      </c>
    </row>
    <row r="66" spans="1:13" x14ac:dyDescent="0.6">
      <c r="A66" s="30" t="s">
        <v>100</v>
      </c>
      <c r="B66" s="8" t="str">
        <f>PROPER(TRIM(VLOOKUP(Table1[[#This Row],[ID]],tabel_data_mentah,2,FALSE)))</f>
        <v>Indra Bekti</v>
      </c>
      <c r="C66" s="8" t="str">
        <f>VLOOKUP(Table1[[#This Row],[ID]],tabel_data_mentah,3,FALSE)</f>
        <v>P-05</v>
      </c>
      <c r="D66" s="8" t="str">
        <f>VLOOKUP(Table1[[#This Row],[Kode Produk]],tabel_referensi,2,FALSE)</f>
        <v>Flashdisk 64GB</v>
      </c>
      <c r="E66" s="9">
        <f>VLOOKUP(Table1[[#This Row],[Kode Produk]],tabel_referensi,3,FALSE)</f>
        <v>95000</v>
      </c>
      <c r="F66" s="8" t="str">
        <f>VLOOKUP(Table1[[#This Row],[Kode Produk]],tabel_referensi,4,FALSE)</f>
        <v>Aksesoris</v>
      </c>
      <c r="G66" s="10">
        <f>INDEX('Data Mentah'!$D$2:$D$101,MATCH(Table1[[#This Row],[Kode Produk]],'Data Mentah'!$C$2:$C$101,0))</f>
        <v>45097</v>
      </c>
      <c r="H66" s="8">
        <f>INDEX('Data Mentah'!$E$2:$E$101,MATCH(Table1[[#This Row],[Kode Produk]],'Data Mentah'!$C$2:$C$101,0))</f>
        <v>5</v>
      </c>
      <c r="I66" s="9">
        <f>Table1[[#This Row],[Harga Satuan]]*Table1[[#This Row],[Quantity]]</f>
        <v>475000</v>
      </c>
      <c r="J66" s="8" t="str">
        <f>VLOOKUP(Table1[[#This Row],[ID]],tabel_data_mentah,6,FALSE)</f>
        <v>Ya</v>
      </c>
      <c r="K66" s="11" t="str">
        <f>IF(AND(Table1[[#This Row],[Member]]="Ya",Table1[[#This Row],[Total Harga]]&gt;1000000),"10%","0%")</f>
        <v>0%</v>
      </c>
      <c r="L66" s="9">
        <f>Table1[[#This Row],[Status Diskon]]*Table1[[#This Row],[Total Harga]]</f>
        <v>0</v>
      </c>
      <c r="M66" s="9">
        <f>Table1[[#This Row],[Total Harga]]-Table1[[#This Row],[Nominal Diskon]]</f>
        <v>475000</v>
      </c>
    </row>
    <row r="67" spans="1:13" x14ac:dyDescent="0.6">
      <c r="A67" s="30" t="s">
        <v>101</v>
      </c>
      <c r="B67" s="8" t="str">
        <f>PROPER(TRIM(VLOOKUP(Table1[[#This Row],[ID]],tabel_data_mentah,2,FALSE)))</f>
        <v>Joko Widodo</v>
      </c>
      <c r="C67" s="8" t="str">
        <f>VLOOKUP(Table1[[#This Row],[ID]],tabel_data_mentah,3,FALSE)</f>
        <v>P-01</v>
      </c>
      <c r="D67" s="8" t="str">
        <f>VLOOKUP(Table1[[#This Row],[Kode Produk]],tabel_referensi,2,FALSE)</f>
        <v>Laptop Pro 14</v>
      </c>
      <c r="E67" s="9">
        <f>VLOOKUP(Table1[[#This Row],[Kode Produk]],tabel_referensi,3,FALSE)</f>
        <v>12500000</v>
      </c>
      <c r="F67" s="8" t="str">
        <f>VLOOKUP(Table1[[#This Row],[Kode Produk]],tabel_referensi,4,FALSE)</f>
        <v>Komputer</v>
      </c>
      <c r="G67" s="10">
        <f>INDEX('Data Mentah'!$D$2:$D$101,MATCH(Table1[[#This Row],[Kode Produk]],'Data Mentah'!$C$2:$C$101,0))</f>
        <v>44938</v>
      </c>
      <c r="H67" s="8">
        <f>INDEX('Data Mentah'!$E$2:$E$101,MATCH(Table1[[#This Row],[Kode Produk]],'Data Mentah'!$C$2:$C$101,0))</f>
        <v>2</v>
      </c>
      <c r="I67" s="9">
        <f>Table1[[#This Row],[Harga Satuan]]*Table1[[#This Row],[Quantity]]</f>
        <v>25000000</v>
      </c>
      <c r="J67" s="8" t="str">
        <f>VLOOKUP(Table1[[#This Row],[ID]],tabel_data_mentah,6,FALSE)</f>
        <v>Tidak</v>
      </c>
      <c r="K67" s="11" t="str">
        <f>IF(AND(Table1[[#This Row],[Member]]="Ya",Table1[[#This Row],[Total Harga]]&gt;1000000),"10%","0%")</f>
        <v>0%</v>
      </c>
      <c r="L67" s="9">
        <f>Table1[[#This Row],[Status Diskon]]*Table1[[#This Row],[Total Harga]]</f>
        <v>0</v>
      </c>
      <c r="M67" s="9">
        <f>Table1[[#This Row],[Total Harga]]-Table1[[#This Row],[Nominal Diskon]]</f>
        <v>25000000</v>
      </c>
    </row>
    <row r="68" spans="1:13" x14ac:dyDescent="0.6">
      <c r="A68" s="30" t="s">
        <v>102</v>
      </c>
      <c r="B68" s="8" t="str">
        <f>PROPER(TRIM(VLOOKUP(Table1[[#This Row],[ID]],tabel_data_mentah,2,FALSE)))</f>
        <v>Kiki Amalia</v>
      </c>
      <c r="C68" s="8" t="str">
        <f>VLOOKUP(Table1[[#This Row],[ID]],tabel_data_mentah,3,FALSE)</f>
        <v>P-02</v>
      </c>
      <c r="D68" s="8" t="str">
        <f>VLOOKUP(Table1[[#This Row],[Kode Produk]],tabel_referensi,2,FALSE)</f>
        <v>Mouse Wireless</v>
      </c>
      <c r="E68" s="9">
        <f>VLOOKUP(Table1[[#This Row],[Kode Produk]],tabel_referensi,3,FALSE)</f>
        <v>150000</v>
      </c>
      <c r="F68" s="8" t="str">
        <f>VLOOKUP(Table1[[#This Row],[Kode Produk]],tabel_referensi,4,FALSE)</f>
        <v>Aksesoris</v>
      </c>
      <c r="G68" s="10">
        <f>INDEX('Data Mentah'!$D$2:$D$101,MATCH(Table1[[#This Row],[Kode Produk]],'Data Mentah'!$C$2:$C$101,0))</f>
        <v>44972</v>
      </c>
      <c r="H68" s="8">
        <f>INDEX('Data Mentah'!$E$2:$E$101,MATCH(Table1[[#This Row],[Kode Produk]],'Data Mentah'!$C$2:$C$101,0))</f>
        <v>1</v>
      </c>
      <c r="I68" s="9">
        <f>Table1[[#This Row],[Harga Satuan]]*Table1[[#This Row],[Quantity]]</f>
        <v>150000</v>
      </c>
      <c r="J68" s="8" t="str">
        <f>VLOOKUP(Table1[[#This Row],[ID]],tabel_data_mentah,6,FALSE)</f>
        <v>Ya</v>
      </c>
      <c r="K68" s="11" t="str">
        <f>IF(AND(Table1[[#This Row],[Member]]="Ya",Table1[[#This Row],[Total Harga]]&gt;1000000),"10%","0%")</f>
        <v>0%</v>
      </c>
      <c r="L68" s="9">
        <f>Table1[[#This Row],[Status Diskon]]*Table1[[#This Row],[Total Harga]]</f>
        <v>0</v>
      </c>
      <c r="M68" s="9">
        <f>Table1[[#This Row],[Total Harga]]-Table1[[#This Row],[Nominal Diskon]]</f>
        <v>150000</v>
      </c>
    </row>
    <row r="69" spans="1:13" x14ac:dyDescent="0.6">
      <c r="A69" s="30" t="s">
        <v>103</v>
      </c>
      <c r="B69" s="8" t="str">
        <f>PROPER(TRIM(VLOOKUP(Table1[[#This Row],[ID]],tabel_data_mentah,2,FALSE)))</f>
        <v>Lina Marlina</v>
      </c>
      <c r="C69" s="8" t="str">
        <f>VLOOKUP(Table1[[#This Row],[ID]],tabel_data_mentah,3,FALSE)</f>
        <v>P-03</v>
      </c>
      <c r="D69" s="8" t="str">
        <f>VLOOKUP(Table1[[#This Row],[Kode Produk]],tabel_referensi,2,FALSE)</f>
        <v>Keyboard Mechanical</v>
      </c>
      <c r="E69" s="9">
        <f>VLOOKUP(Table1[[#This Row],[Kode Produk]],tabel_referensi,3,FALSE)</f>
        <v>450000</v>
      </c>
      <c r="F69" s="8" t="str">
        <f>VLOOKUP(Table1[[#This Row],[Kode Produk]],tabel_referensi,4,FALSE)</f>
        <v>Aksesoris</v>
      </c>
      <c r="G69" s="10">
        <f>INDEX('Data Mentah'!$D$2:$D$101,MATCH(Table1[[#This Row],[Kode Produk]],'Data Mentah'!$C$2:$C$101,0))</f>
        <v>44995</v>
      </c>
      <c r="H69" s="8">
        <f>INDEX('Data Mentah'!$E$2:$E$101,MATCH(Table1[[#This Row],[Kode Produk]],'Data Mentah'!$C$2:$C$101,0))</f>
        <v>3</v>
      </c>
      <c r="I69" s="9">
        <f>Table1[[#This Row],[Harga Satuan]]*Table1[[#This Row],[Quantity]]</f>
        <v>1350000</v>
      </c>
      <c r="J69" s="8" t="str">
        <f>VLOOKUP(Table1[[#This Row],[ID]],tabel_data_mentah,6,FALSE)</f>
        <v>Tidak</v>
      </c>
      <c r="K69" s="11" t="str">
        <f>IF(AND(Table1[[#This Row],[Member]]="Ya",Table1[[#This Row],[Total Harga]]&gt;1000000),"10%","0%")</f>
        <v>0%</v>
      </c>
      <c r="L69" s="9">
        <f>Table1[[#This Row],[Status Diskon]]*Table1[[#This Row],[Total Harga]]</f>
        <v>0</v>
      </c>
      <c r="M69" s="9">
        <f>Table1[[#This Row],[Total Harga]]-Table1[[#This Row],[Nominal Diskon]]</f>
        <v>1350000</v>
      </c>
    </row>
    <row r="70" spans="1:13" x14ac:dyDescent="0.6">
      <c r="A70" s="30" t="s">
        <v>104</v>
      </c>
      <c r="B70" s="8" t="str">
        <f>PROPER(TRIM(VLOOKUP(Table1[[#This Row],[ID]],tabel_data_mentah,2,FALSE)))</f>
        <v>Maman Abdurrahman</v>
      </c>
      <c r="C70" s="8" t="str">
        <f>VLOOKUP(Table1[[#This Row],[ID]],tabel_data_mentah,3,FALSE)</f>
        <v>P-04</v>
      </c>
      <c r="D70" s="8" t="str">
        <f>VLOOKUP(Table1[[#This Row],[Kode Produk]],tabel_referensi,2,FALSE)</f>
        <v>Monitor 27 Inch</v>
      </c>
      <c r="E70" s="9">
        <f>VLOOKUP(Table1[[#This Row],[Kode Produk]],tabel_referensi,3,FALSE)</f>
        <v>2100000</v>
      </c>
      <c r="F70" s="8" t="str">
        <f>VLOOKUP(Table1[[#This Row],[Kode Produk]],tabel_referensi,4,FALSE)</f>
        <v>Komputer</v>
      </c>
      <c r="G70" s="10">
        <f>INDEX('Data Mentah'!$D$2:$D$101,MATCH(Table1[[#This Row],[Kode Produk]],'Data Mentah'!$C$2:$C$101,0))</f>
        <v>45058</v>
      </c>
      <c r="H70" s="8">
        <f>INDEX('Data Mentah'!$E$2:$E$101,MATCH(Table1[[#This Row],[Kode Produk]],'Data Mentah'!$C$2:$C$101,0))</f>
        <v>2</v>
      </c>
      <c r="I70" s="9">
        <f>Table1[[#This Row],[Harga Satuan]]*Table1[[#This Row],[Quantity]]</f>
        <v>4200000</v>
      </c>
      <c r="J70" s="8" t="str">
        <f>VLOOKUP(Table1[[#This Row],[ID]],tabel_data_mentah,6,FALSE)</f>
        <v>Ya</v>
      </c>
      <c r="K70" s="11" t="str">
        <f>IF(AND(Table1[[#This Row],[Member]]="Ya",Table1[[#This Row],[Total Harga]]&gt;1000000),"10%","0%")</f>
        <v>10%</v>
      </c>
      <c r="L70" s="9">
        <f>Table1[[#This Row],[Status Diskon]]*Table1[[#This Row],[Total Harga]]</f>
        <v>420000</v>
      </c>
      <c r="M70" s="9">
        <f>Table1[[#This Row],[Total Harga]]-Table1[[#This Row],[Nominal Diskon]]</f>
        <v>3780000</v>
      </c>
    </row>
    <row r="71" spans="1:13" x14ac:dyDescent="0.6">
      <c r="A71" s="30" t="s">
        <v>105</v>
      </c>
      <c r="B71" s="8" t="str">
        <f>PROPER(TRIM(VLOOKUP(Table1[[#This Row],[ID]],tabel_data_mentah,2,FALSE)))</f>
        <v>Nanda Saputra</v>
      </c>
      <c r="C71" s="8" t="str">
        <f>VLOOKUP(Table1[[#This Row],[ID]],tabel_data_mentah,3,FALSE)</f>
        <v>P-05</v>
      </c>
      <c r="D71" s="8" t="str">
        <f>VLOOKUP(Table1[[#This Row],[Kode Produk]],tabel_referensi,2,FALSE)</f>
        <v>Flashdisk 64GB</v>
      </c>
      <c r="E71" s="9">
        <f>VLOOKUP(Table1[[#This Row],[Kode Produk]],tabel_referensi,3,FALSE)</f>
        <v>95000</v>
      </c>
      <c r="F71" s="8" t="str">
        <f>VLOOKUP(Table1[[#This Row],[Kode Produk]],tabel_referensi,4,FALSE)</f>
        <v>Aksesoris</v>
      </c>
      <c r="G71" s="10">
        <f>INDEX('Data Mentah'!$D$2:$D$101,MATCH(Table1[[#This Row],[Kode Produk]],'Data Mentah'!$C$2:$C$101,0))</f>
        <v>45097</v>
      </c>
      <c r="H71" s="8">
        <f>INDEX('Data Mentah'!$E$2:$E$101,MATCH(Table1[[#This Row],[Kode Produk]],'Data Mentah'!$C$2:$C$101,0))</f>
        <v>5</v>
      </c>
      <c r="I71" s="9">
        <f>Table1[[#This Row],[Harga Satuan]]*Table1[[#This Row],[Quantity]]</f>
        <v>475000</v>
      </c>
      <c r="J71" s="8" t="str">
        <f>VLOOKUP(Table1[[#This Row],[ID]],tabel_data_mentah,6,FALSE)</f>
        <v>Tidak</v>
      </c>
      <c r="K71" s="11" t="str">
        <f>IF(AND(Table1[[#This Row],[Member]]="Ya",Table1[[#This Row],[Total Harga]]&gt;1000000),"10%","0%")</f>
        <v>0%</v>
      </c>
      <c r="L71" s="9">
        <f>Table1[[#This Row],[Status Diskon]]*Table1[[#This Row],[Total Harga]]</f>
        <v>0</v>
      </c>
      <c r="M71" s="9">
        <f>Table1[[#This Row],[Total Harga]]-Table1[[#This Row],[Nominal Diskon]]</f>
        <v>475000</v>
      </c>
    </row>
    <row r="72" spans="1:13" x14ac:dyDescent="0.6">
      <c r="A72" s="30" t="s">
        <v>106</v>
      </c>
      <c r="B72" s="8" t="str">
        <f>PROPER(TRIM(VLOOKUP(Table1[[#This Row],[ID]],tabel_data_mentah,2,FALSE)))</f>
        <v>Oki Setiana</v>
      </c>
      <c r="C72" s="8" t="str">
        <f>VLOOKUP(Table1[[#This Row],[ID]],tabel_data_mentah,3,FALSE)</f>
        <v>P-01</v>
      </c>
      <c r="D72" s="8" t="str">
        <f>VLOOKUP(Table1[[#This Row],[Kode Produk]],tabel_referensi,2,FALSE)</f>
        <v>Laptop Pro 14</v>
      </c>
      <c r="E72" s="9">
        <f>VLOOKUP(Table1[[#This Row],[Kode Produk]],tabel_referensi,3,FALSE)</f>
        <v>12500000</v>
      </c>
      <c r="F72" s="8" t="str">
        <f>VLOOKUP(Table1[[#This Row],[Kode Produk]],tabel_referensi,4,FALSE)</f>
        <v>Komputer</v>
      </c>
      <c r="G72" s="10">
        <f>INDEX('Data Mentah'!$D$2:$D$101,MATCH(Table1[[#This Row],[Kode Produk]],'Data Mentah'!$C$2:$C$101,0))</f>
        <v>44938</v>
      </c>
      <c r="H72" s="8">
        <f>INDEX('Data Mentah'!$E$2:$E$101,MATCH(Table1[[#This Row],[Kode Produk]],'Data Mentah'!$C$2:$C$101,0))</f>
        <v>2</v>
      </c>
      <c r="I72" s="9">
        <f>Table1[[#This Row],[Harga Satuan]]*Table1[[#This Row],[Quantity]]</f>
        <v>25000000</v>
      </c>
      <c r="J72" s="8" t="str">
        <f>VLOOKUP(Table1[[#This Row],[ID]],tabel_data_mentah,6,FALSE)</f>
        <v>Ya</v>
      </c>
      <c r="K72" s="11" t="str">
        <f>IF(AND(Table1[[#This Row],[Member]]="Ya",Table1[[#This Row],[Total Harga]]&gt;1000000),"10%","0%")</f>
        <v>10%</v>
      </c>
      <c r="L72" s="9">
        <f>Table1[[#This Row],[Status Diskon]]*Table1[[#This Row],[Total Harga]]</f>
        <v>2500000</v>
      </c>
      <c r="M72" s="9">
        <f>Table1[[#This Row],[Total Harga]]-Table1[[#This Row],[Nominal Diskon]]</f>
        <v>22500000</v>
      </c>
    </row>
    <row r="73" spans="1:13" x14ac:dyDescent="0.6">
      <c r="A73" s="30" t="s">
        <v>107</v>
      </c>
      <c r="B73" s="8" t="str">
        <f>PROPER(TRIM(VLOOKUP(Table1[[#This Row],[ID]],tabel_data_mentah,2,FALSE)))</f>
        <v>Putri Titian</v>
      </c>
      <c r="C73" s="8" t="str">
        <f>VLOOKUP(Table1[[#This Row],[ID]],tabel_data_mentah,3,FALSE)</f>
        <v>P-02</v>
      </c>
      <c r="D73" s="8" t="str">
        <f>VLOOKUP(Table1[[#This Row],[Kode Produk]],tabel_referensi,2,FALSE)</f>
        <v>Mouse Wireless</v>
      </c>
      <c r="E73" s="9">
        <f>VLOOKUP(Table1[[#This Row],[Kode Produk]],tabel_referensi,3,FALSE)</f>
        <v>150000</v>
      </c>
      <c r="F73" s="8" t="str">
        <f>VLOOKUP(Table1[[#This Row],[Kode Produk]],tabel_referensi,4,FALSE)</f>
        <v>Aksesoris</v>
      </c>
      <c r="G73" s="10">
        <f>INDEX('Data Mentah'!$D$2:$D$101,MATCH(Table1[[#This Row],[Kode Produk]],'Data Mentah'!$C$2:$C$101,0))</f>
        <v>44972</v>
      </c>
      <c r="H73" s="8">
        <f>INDEX('Data Mentah'!$E$2:$E$101,MATCH(Table1[[#This Row],[Kode Produk]],'Data Mentah'!$C$2:$C$101,0))</f>
        <v>1</v>
      </c>
      <c r="I73" s="9">
        <f>Table1[[#This Row],[Harga Satuan]]*Table1[[#This Row],[Quantity]]</f>
        <v>150000</v>
      </c>
      <c r="J73" s="8" t="str">
        <f>VLOOKUP(Table1[[#This Row],[ID]],tabel_data_mentah,6,FALSE)</f>
        <v>Tidak</v>
      </c>
      <c r="K73" s="11" t="str">
        <f>IF(AND(Table1[[#This Row],[Member]]="Ya",Table1[[#This Row],[Total Harga]]&gt;1000000),"10%","0%")</f>
        <v>0%</v>
      </c>
      <c r="L73" s="9">
        <f>Table1[[#This Row],[Status Diskon]]*Table1[[#This Row],[Total Harga]]</f>
        <v>0</v>
      </c>
      <c r="M73" s="9">
        <f>Table1[[#This Row],[Total Harga]]-Table1[[#This Row],[Nominal Diskon]]</f>
        <v>150000</v>
      </c>
    </row>
    <row r="74" spans="1:13" x14ac:dyDescent="0.6">
      <c r="A74" s="30" t="s">
        <v>108</v>
      </c>
      <c r="B74" s="8" t="str">
        <f>PROPER(TRIM(VLOOKUP(Table1[[#This Row],[ID]],tabel_data_mentah,2,FALSE)))</f>
        <v>Qory Sandioriva</v>
      </c>
      <c r="C74" s="8" t="str">
        <f>VLOOKUP(Table1[[#This Row],[ID]],tabel_data_mentah,3,FALSE)</f>
        <v>P-03</v>
      </c>
      <c r="D74" s="8" t="str">
        <f>VLOOKUP(Table1[[#This Row],[Kode Produk]],tabel_referensi,2,FALSE)</f>
        <v>Keyboard Mechanical</v>
      </c>
      <c r="E74" s="9">
        <f>VLOOKUP(Table1[[#This Row],[Kode Produk]],tabel_referensi,3,FALSE)</f>
        <v>450000</v>
      </c>
      <c r="F74" s="8" t="str">
        <f>VLOOKUP(Table1[[#This Row],[Kode Produk]],tabel_referensi,4,FALSE)</f>
        <v>Aksesoris</v>
      </c>
      <c r="G74" s="10">
        <f>INDEX('Data Mentah'!$D$2:$D$101,MATCH(Table1[[#This Row],[Kode Produk]],'Data Mentah'!$C$2:$C$101,0))</f>
        <v>44995</v>
      </c>
      <c r="H74" s="8">
        <f>INDEX('Data Mentah'!$E$2:$E$101,MATCH(Table1[[#This Row],[Kode Produk]],'Data Mentah'!$C$2:$C$101,0))</f>
        <v>3</v>
      </c>
      <c r="I74" s="9">
        <f>Table1[[#This Row],[Harga Satuan]]*Table1[[#This Row],[Quantity]]</f>
        <v>1350000</v>
      </c>
      <c r="J74" s="8" t="str">
        <f>VLOOKUP(Table1[[#This Row],[ID]],tabel_data_mentah,6,FALSE)</f>
        <v>Ya</v>
      </c>
      <c r="K74" s="11" t="str">
        <f>IF(AND(Table1[[#This Row],[Member]]="Ya",Table1[[#This Row],[Total Harga]]&gt;1000000),"10%","0%")</f>
        <v>10%</v>
      </c>
      <c r="L74" s="9">
        <f>Table1[[#This Row],[Status Diskon]]*Table1[[#This Row],[Total Harga]]</f>
        <v>135000</v>
      </c>
      <c r="M74" s="9">
        <f>Table1[[#This Row],[Total Harga]]-Table1[[#This Row],[Nominal Diskon]]</f>
        <v>1215000</v>
      </c>
    </row>
    <row r="75" spans="1:13" x14ac:dyDescent="0.6">
      <c r="A75" s="30" t="s">
        <v>109</v>
      </c>
      <c r="B75" s="8" t="str">
        <f>PROPER(TRIM(VLOOKUP(Table1[[#This Row],[ID]],tabel_data_mentah,2,FALSE)))</f>
        <v>Reza Rahardian</v>
      </c>
      <c r="C75" s="8" t="str">
        <f>VLOOKUP(Table1[[#This Row],[ID]],tabel_data_mentah,3,FALSE)</f>
        <v>P-04</v>
      </c>
      <c r="D75" s="8" t="str">
        <f>VLOOKUP(Table1[[#This Row],[Kode Produk]],tabel_referensi,2,FALSE)</f>
        <v>Monitor 27 Inch</v>
      </c>
      <c r="E75" s="9">
        <f>VLOOKUP(Table1[[#This Row],[Kode Produk]],tabel_referensi,3,FALSE)</f>
        <v>2100000</v>
      </c>
      <c r="F75" s="8" t="str">
        <f>VLOOKUP(Table1[[#This Row],[Kode Produk]],tabel_referensi,4,FALSE)</f>
        <v>Komputer</v>
      </c>
      <c r="G75" s="10">
        <f>INDEX('Data Mentah'!$D$2:$D$101,MATCH(Table1[[#This Row],[Kode Produk]],'Data Mentah'!$C$2:$C$101,0))</f>
        <v>45058</v>
      </c>
      <c r="H75" s="8">
        <f>INDEX('Data Mentah'!$E$2:$E$101,MATCH(Table1[[#This Row],[Kode Produk]],'Data Mentah'!$C$2:$C$101,0))</f>
        <v>2</v>
      </c>
      <c r="I75" s="9">
        <f>Table1[[#This Row],[Harga Satuan]]*Table1[[#This Row],[Quantity]]</f>
        <v>4200000</v>
      </c>
      <c r="J75" s="8" t="str">
        <f>VLOOKUP(Table1[[#This Row],[ID]],tabel_data_mentah,6,FALSE)</f>
        <v>Tidak</v>
      </c>
      <c r="K75" s="11" t="str">
        <f>IF(AND(Table1[[#This Row],[Member]]="Ya",Table1[[#This Row],[Total Harga]]&gt;1000000),"10%","0%")</f>
        <v>0%</v>
      </c>
      <c r="L75" s="9">
        <f>Table1[[#This Row],[Status Diskon]]*Table1[[#This Row],[Total Harga]]</f>
        <v>0</v>
      </c>
      <c r="M75" s="9">
        <f>Table1[[#This Row],[Total Harga]]-Table1[[#This Row],[Nominal Diskon]]</f>
        <v>4200000</v>
      </c>
    </row>
    <row r="76" spans="1:13" x14ac:dyDescent="0.6">
      <c r="A76" s="30" t="s">
        <v>110</v>
      </c>
      <c r="B76" s="8" t="str">
        <f>PROPER(TRIM(VLOOKUP(Table1[[#This Row],[ID]],tabel_data_mentah,2,FALSE)))</f>
        <v>Sisca Soewitomo</v>
      </c>
      <c r="C76" s="8" t="str">
        <f>VLOOKUP(Table1[[#This Row],[ID]],tabel_data_mentah,3,FALSE)</f>
        <v>P-05</v>
      </c>
      <c r="D76" s="8" t="str">
        <f>VLOOKUP(Table1[[#This Row],[Kode Produk]],tabel_referensi,2,FALSE)</f>
        <v>Flashdisk 64GB</v>
      </c>
      <c r="E76" s="9">
        <f>VLOOKUP(Table1[[#This Row],[Kode Produk]],tabel_referensi,3,FALSE)</f>
        <v>95000</v>
      </c>
      <c r="F76" s="8" t="str">
        <f>VLOOKUP(Table1[[#This Row],[Kode Produk]],tabel_referensi,4,FALSE)</f>
        <v>Aksesoris</v>
      </c>
      <c r="G76" s="10">
        <f>INDEX('Data Mentah'!$D$2:$D$101,MATCH(Table1[[#This Row],[Kode Produk]],'Data Mentah'!$C$2:$C$101,0))</f>
        <v>45097</v>
      </c>
      <c r="H76" s="8">
        <f>INDEX('Data Mentah'!$E$2:$E$101,MATCH(Table1[[#This Row],[Kode Produk]],'Data Mentah'!$C$2:$C$101,0))</f>
        <v>5</v>
      </c>
      <c r="I76" s="9">
        <f>Table1[[#This Row],[Harga Satuan]]*Table1[[#This Row],[Quantity]]</f>
        <v>475000</v>
      </c>
      <c r="J76" s="8" t="str">
        <f>VLOOKUP(Table1[[#This Row],[ID]],tabel_data_mentah,6,FALSE)</f>
        <v>Ya</v>
      </c>
      <c r="K76" s="11" t="str">
        <f>IF(AND(Table1[[#This Row],[Member]]="Ya",Table1[[#This Row],[Total Harga]]&gt;1000000),"10%","0%")</f>
        <v>0%</v>
      </c>
      <c r="L76" s="9">
        <f>Table1[[#This Row],[Status Diskon]]*Table1[[#This Row],[Total Harga]]</f>
        <v>0</v>
      </c>
      <c r="M76" s="9">
        <f>Table1[[#This Row],[Total Harga]]-Table1[[#This Row],[Nominal Diskon]]</f>
        <v>475000</v>
      </c>
    </row>
    <row r="77" spans="1:13" x14ac:dyDescent="0.6">
      <c r="A77" s="30" t="s">
        <v>111</v>
      </c>
      <c r="B77" s="8" t="str">
        <f>PROPER(TRIM(VLOOKUP(Table1[[#This Row],[ID]],tabel_data_mentah,2,FALSE)))</f>
        <v>Tora Sudiro</v>
      </c>
      <c r="C77" s="8" t="str">
        <f>VLOOKUP(Table1[[#This Row],[ID]],tabel_data_mentah,3,FALSE)</f>
        <v>P-01</v>
      </c>
      <c r="D77" s="8" t="str">
        <f>VLOOKUP(Table1[[#This Row],[Kode Produk]],tabel_referensi,2,FALSE)</f>
        <v>Laptop Pro 14</v>
      </c>
      <c r="E77" s="9">
        <f>VLOOKUP(Table1[[#This Row],[Kode Produk]],tabel_referensi,3,FALSE)</f>
        <v>12500000</v>
      </c>
      <c r="F77" s="8" t="str">
        <f>VLOOKUP(Table1[[#This Row],[Kode Produk]],tabel_referensi,4,FALSE)</f>
        <v>Komputer</v>
      </c>
      <c r="G77" s="10">
        <f>INDEX('Data Mentah'!$D$2:$D$101,MATCH(Table1[[#This Row],[Kode Produk]],'Data Mentah'!$C$2:$C$101,0))</f>
        <v>44938</v>
      </c>
      <c r="H77" s="8">
        <f>INDEX('Data Mentah'!$E$2:$E$101,MATCH(Table1[[#This Row],[Kode Produk]],'Data Mentah'!$C$2:$C$101,0))</f>
        <v>2</v>
      </c>
      <c r="I77" s="9">
        <f>Table1[[#This Row],[Harga Satuan]]*Table1[[#This Row],[Quantity]]</f>
        <v>25000000</v>
      </c>
      <c r="J77" s="8" t="str">
        <f>VLOOKUP(Table1[[#This Row],[ID]],tabel_data_mentah,6,FALSE)</f>
        <v>Tidak</v>
      </c>
      <c r="K77" s="11" t="str">
        <f>IF(AND(Table1[[#This Row],[Member]]="Ya",Table1[[#This Row],[Total Harga]]&gt;1000000),"10%","0%")</f>
        <v>0%</v>
      </c>
      <c r="L77" s="9">
        <f>Table1[[#This Row],[Status Diskon]]*Table1[[#This Row],[Total Harga]]</f>
        <v>0</v>
      </c>
      <c r="M77" s="9">
        <f>Table1[[#This Row],[Total Harga]]-Table1[[#This Row],[Nominal Diskon]]</f>
        <v>25000000</v>
      </c>
    </row>
    <row r="78" spans="1:13" x14ac:dyDescent="0.6">
      <c r="A78" s="30" t="s">
        <v>112</v>
      </c>
      <c r="B78" s="8" t="str">
        <f>PROPER(TRIM(VLOOKUP(Table1[[#This Row],[ID]],tabel_data_mentah,2,FALSE)))</f>
        <v>Umay Shahab</v>
      </c>
      <c r="C78" s="8" t="str">
        <f>VLOOKUP(Table1[[#This Row],[ID]],tabel_data_mentah,3,FALSE)</f>
        <v>P-02</v>
      </c>
      <c r="D78" s="8" t="str">
        <f>VLOOKUP(Table1[[#This Row],[Kode Produk]],tabel_referensi,2,FALSE)</f>
        <v>Mouse Wireless</v>
      </c>
      <c r="E78" s="9">
        <f>VLOOKUP(Table1[[#This Row],[Kode Produk]],tabel_referensi,3,FALSE)</f>
        <v>150000</v>
      </c>
      <c r="F78" s="8" t="str">
        <f>VLOOKUP(Table1[[#This Row],[Kode Produk]],tabel_referensi,4,FALSE)</f>
        <v>Aksesoris</v>
      </c>
      <c r="G78" s="10">
        <f>INDEX('Data Mentah'!$D$2:$D$101,MATCH(Table1[[#This Row],[Kode Produk]],'Data Mentah'!$C$2:$C$101,0))</f>
        <v>44972</v>
      </c>
      <c r="H78" s="8">
        <f>INDEX('Data Mentah'!$E$2:$E$101,MATCH(Table1[[#This Row],[Kode Produk]],'Data Mentah'!$C$2:$C$101,0))</f>
        <v>1</v>
      </c>
      <c r="I78" s="9">
        <f>Table1[[#This Row],[Harga Satuan]]*Table1[[#This Row],[Quantity]]</f>
        <v>150000</v>
      </c>
      <c r="J78" s="8" t="str">
        <f>VLOOKUP(Table1[[#This Row],[ID]],tabel_data_mentah,6,FALSE)</f>
        <v>Ya</v>
      </c>
      <c r="K78" s="11" t="str">
        <f>IF(AND(Table1[[#This Row],[Member]]="Ya",Table1[[#This Row],[Total Harga]]&gt;1000000),"10%","0%")</f>
        <v>0%</v>
      </c>
      <c r="L78" s="9">
        <f>Table1[[#This Row],[Status Diskon]]*Table1[[#This Row],[Total Harga]]</f>
        <v>0</v>
      </c>
      <c r="M78" s="9">
        <f>Table1[[#This Row],[Total Harga]]-Table1[[#This Row],[Nominal Diskon]]</f>
        <v>150000</v>
      </c>
    </row>
    <row r="79" spans="1:13" x14ac:dyDescent="0.6">
      <c r="A79" s="30" t="s">
        <v>113</v>
      </c>
      <c r="B79" s="8" t="str">
        <f>PROPER(TRIM(VLOOKUP(Table1[[#This Row],[ID]],tabel_data_mentah,2,FALSE)))</f>
        <v>Budi Santoso</v>
      </c>
      <c r="C79" s="8" t="str">
        <f>VLOOKUP(Table1[[#This Row],[ID]],tabel_data_mentah,3,FALSE)</f>
        <v>P-04</v>
      </c>
      <c r="D79" s="8" t="str">
        <f>VLOOKUP(Table1[[#This Row],[Kode Produk]],tabel_referensi,2,FALSE)</f>
        <v>Monitor 27 Inch</v>
      </c>
      <c r="E79" s="9">
        <f>VLOOKUP(Table1[[#This Row],[Kode Produk]],tabel_referensi,3,FALSE)</f>
        <v>2100000</v>
      </c>
      <c r="F79" s="8" t="str">
        <f>VLOOKUP(Table1[[#This Row],[Kode Produk]],tabel_referensi,4,FALSE)</f>
        <v>Komputer</v>
      </c>
      <c r="G79" s="10">
        <f>INDEX('Data Mentah'!$D$2:$D$101,MATCH(Table1[[#This Row],[Kode Produk]],'Data Mentah'!$C$2:$C$101,0))</f>
        <v>45058</v>
      </c>
      <c r="H79" s="8">
        <f>INDEX('Data Mentah'!$E$2:$E$101,MATCH(Table1[[#This Row],[Kode Produk]],'Data Mentah'!$C$2:$C$101,0))</f>
        <v>2</v>
      </c>
      <c r="I79" s="9">
        <f>Table1[[#This Row],[Harga Satuan]]*Table1[[#This Row],[Quantity]]</f>
        <v>4200000</v>
      </c>
      <c r="J79" s="8" t="str">
        <f>VLOOKUP(Table1[[#This Row],[ID]],tabel_data_mentah,6,FALSE)</f>
        <v>Ya</v>
      </c>
      <c r="K79" s="11" t="str">
        <f>IF(AND(Table1[[#This Row],[Member]]="Ya",Table1[[#This Row],[Total Harga]]&gt;1000000),"10%","0%")</f>
        <v>10%</v>
      </c>
      <c r="L79" s="9">
        <f>Table1[[#This Row],[Status Diskon]]*Table1[[#This Row],[Total Harga]]</f>
        <v>420000</v>
      </c>
      <c r="M79" s="9">
        <f>Table1[[#This Row],[Total Harga]]-Table1[[#This Row],[Nominal Diskon]]</f>
        <v>3780000</v>
      </c>
    </row>
    <row r="80" spans="1:13" x14ac:dyDescent="0.6">
      <c r="A80" s="30" t="s">
        <v>114</v>
      </c>
      <c r="B80" s="8" t="str">
        <f>PROPER(TRIM(VLOOKUP(Table1[[#This Row],[ID]],tabel_data_mentah,2,FALSE)))</f>
        <v>Siti Aminah</v>
      </c>
      <c r="C80" s="8" t="str">
        <f>VLOOKUP(Table1[[#This Row],[ID]],tabel_data_mentah,3,FALSE)</f>
        <v>P-05</v>
      </c>
      <c r="D80" s="8" t="str">
        <f>VLOOKUP(Table1[[#This Row],[Kode Produk]],tabel_referensi,2,FALSE)</f>
        <v>Flashdisk 64GB</v>
      </c>
      <c r="E80" s="9">
        <f>VLOOKUP(Table1[[#This Row],[Kode Produk]],tabel_referensi,3,FALSE)</f>
        <v>95000</v>
      </c>
      <c r="F80" s="8" t="str">
        <f>VLOOKUP(Table1[[#This Row],[Kode Produk]],tabel_referensi,4,FALSE)</f>
        <v>Aksesoris</v>
      </c>
      <c r="G80" s="10">
        <f>INDEX('Data Mentah'!$D$2:$D$101,MATCH(Table1[[#This Row],[Kode Produk]],'Data Mentah'!$C$2:$C$101,0))</f>
        <v>45097</v>
      </c>
      <c r="H80" s="8">
        <f>INDEX('Data Mentah'!$E$2:$E$101,MATCH(Table1[[#This Row],[Kode Produk]],'Data Mentah'!$C$2:$C$101,0))</f>
        <v>5</v>
      </c>
      <c r="I80" s="9">
        <f>Table1[[#This Row],[Harga Satuan]]*Table1[[#This Row],[Quantity]]</f>
        <v>475000</v>
      </c>
      <c r="J80" s="8" t="str">
        <f>VLOOKUP(Table1[[#This Row],[ID]],tabel_data_mentah,6,FALSE)</f>
        <v>Tidak</v>
      </c>
      <c r="K80" s="11" t="str">
        <f>IF(AND(Table1[[#This Row],[Member]]="Ya",Table1[[#This Row],[Total Harga]]&gt;1000000),"10%","0%")</f>
        <v>0%</v>
      </c>
      <c r="L80" s="9">
        <f>Table1[[#This Row],[Status Diskon]]*Table1[[#This Row],[Total Harga]]</f>
        <v>0</v>
      </c>
      <c r="M80" s="9">
        <f>Table1[[#This Row],[Total Harga]]-Table1[[#This Row],[Nominal Diskon]]</f>
        <v>475000</v>
      </c>
    </row>
    <row r="81" spans="1:13" x14ac:dyDescent="0.6">
      <c r="A81" s="30" t="s">
        <v>115</v>
      </c>
      <c r="B81" s="8" t="str">
        <f>PROPER(TRIM(VLOOKUP(Table1[[#This Row],[ID]],tabel_data_mentah,2,FALSE)))</f>
        <v>Andi Wijaya</v>
      </c>
      <c r="C81" s="8" t="str">
        <f>VLOOKUP(Table1[[#This Row],[ID]],tabel_data_mentah,3,FALSE)</f>
        <v>P-01</v>
      </c>
      <c r="D81" s="8" t="str">
        <f>VLOOKUP(Table1[[#This Row],[Kode Produk]],tabel_referensi,2,FALSE)</f>
        <v>Laptop Pro 14</v>
      </c>
      <c r="E81" s="9">
        <f>VLOOKUP(Table1[[#This Row],[Kode Produk]],tabel_referensi,3,FALSE)</f>
        <v>12500000</v>
      </c>
      <c r="F81" s="8" t="str">
        <f>VLOOKUP(Table1[[#This Row],[Kode Produk]],tabel_referensi,4,FALSE)</f>
        <v>Komputer</v>
      </c>
      <c r="G81" s="10">
        <f>INDEX('Data Mentah'!$D$2:$D$101,MATCH(Table1[[#This Row],[Kode Produk]],'Data Mentah'!$C$2:$C$101,0))</f>
        <v>44938</v>
      </c>
      <c r="H81" s="8">
        <f>INDEX('Data Mentah'!$E$2:$E$101,MATCH(Table1[[#This Row],[Kode Produk]],'Data Mentah'!$C$2:$C$101,0))</f>
        <v>2</v>
      </c>
      <c r="I81" s="9">
        <f>Table1[[#This Row],[Harga Satuan]]*Table1[[#This Row],[Quantity]]</f>
        <v>25000000</v>
      </c>
      <c r="J81" s="8" t="str">
        <f>VLOOKUP(Table1[[#This Row],[ID]],tabel_data_mentah,6,FALSE)</f>
        <v>Ya</v>
      </c>
      <c r="K81" s="11" t="str">
        <f>IF(AND(Table1[[#This Row],[Member]]="Ya",Table1[[#This Row],[Total Harga]]&gt;1000000),"10%","0%")</f>
        <v>10%</v>
      </c>
      <c r="L81" s="9">
        <f>Table1[[#This Row],[Status Diskon]]*Table1[[#This Row],[Total Harga]]</f>
        <v>2500000</v>
      </c>
      <c r="M81" s="9">
        <f>Table1[[#This Row],[Total Harga]]-Table1[[#This Row],[Nominal Diskon]]</f>
        <v>22500000</v>
      </c>
    </row>
    <row r="82" spans="1:13" x14ac:dyDescent="0.6">
      <c r="A82" s="30" t="s">
        <v>116</v>
      </c>
      <c r="B82" s="8" t="str">
        <f>PROPER(TRIM(VLOOKUP(Table1[[#This Row],[ID]],tabel_data_mentah,2,FALSE)))</f>
        <v>Dewi Lestari</v>
      </c>
      <c r="C82" s="8" t="str">
        <f>VLOOKUP(Table1[[#This Row],[ID]],tabel_data_mentah,3,FALSE)</f>
        <v>P-02</v>
      </c>
      <c r="D82" s="8" t="str">
        <f>VLOOKUP(Table1[[#This Row],[Kode Produk]],tabel_referensi,2,FALSE)</f>
        <v>Mouse Wireless</v>
      </c>
      <c r="E82" s="9">
        <f>VLOOKUP(Table1[[#This Row],[Kode Produk]],tabel_referensi,3,FALSE)</f>
        <v>150000</v>
      </c>
      <c r="F82" s="8" t="str">
        <f>VLOOKUP(Table1[[#This Row],[Kode Produk]],tabel_referensi,4,FALSE)</f>
        <v>Aksesoris</v>
      </c>
      <c r="G82" s="10">
        <f>INDEX('Data Mentah'!$D$2:$D$101,MATCH(Table1[[#This Row],[Kode Produk]],'Data Mentah'!$C$2:$C$101,0))</f>
        <v>44972</v>
      </c>
      <c r="H82" s="8">
        <f>INDEX('Data Mentah'!$E$2:$E$101,MATCH(Table1[[#This Row],[Kode Produk]],'Data Mentah'!$C$2:$C$101,0))</f>
        <v>1</v>
      </c>
      <c r="I82" s="9">
        <f>Table1[[#This Row],[Harga Satuan]]*Table1[[#This Row],[Quantity]]</f>
        <v>150000</v>
      </c>
      <c r="J82" s="8" t="str">
        <f>VLOOKUP(Table1[[#This Row],[ID]],tabel_data_mentah,6,FALSE)</f>
        <v>Tidak</v>
      </c>
      <c r="K82" s="11" t="str">
        <f>IF(AND(Table1[[#This Row],[Member]]="Ya",Table1[[#This Row],[Total Harga]]&gt;1000000),"10%","0%")</f>
        <v>0%</v>
      </c>
      <c r="L82" s="9">
        <f>Table1[[#This Row],[Status Diskon]]*Table1[[#This Row],[Total Harga]]</f>
        <v>0</v>
      </c>
      <c r="M82" s="9">
        <f>Table1[[#This Row],[Total Harga]]-Table1[[#This Row],[Nominal Diskon]]</f>
        <v>150000</v>
      </c>
    </row>
    <row r="83" spans="1:13" x14ac:dyDescent="0.6">
      <c r="A83" s="30" t="s">
        <v>117</v>
      </c>
      <c r="B83" s="8" t="str">
        <f>PROPER(TRIM(VLOOKUP(Table1[[#This Row],[ID]],tabel_data_mentah,2,FALSE)))</f>
        <v>Eko Prasetyo</v>
      </c>
      <c r="C83" s="8" t="str">
        <f>VLOOKUP(Table1[[#This Row],[ID]],tabel_data_mentah,3,FALSE)</f>
        <v>P-03</v>
      </c>
      <c r="D83" s="8" t="str">
        <f>VLOOKUP(Table1[[#This Row],[Kode Produk]],tabel_referensi,2,FALSE)</f>
        <v>Keyboard Mechanical</v>
      </c>
      <c r="E83" s="9">
        <f>VLOOKUP(Table1[[#This Row],[Kode Produk]],tabel_referensi,3,FALSE)</f>
        <v>450000</v>
      </c>
      <c r="F83" s="8" t="str">
        <f>VLOOKUP(Table1[[#This Row],[Kode Produk]],tabel_referensi,4,FALSE)</f>
        <v>Aksesoris</v>
      </c>
      <c r="G83" s="10">
        <f>INDEX('Data Mentah'!$D$2:$D$101,MATCH(Table1[[#This Row],[Kode Produk]],'Data Mentah'!$C$2:$C$101,0))</f>
        <v>44995</v>
      </c>
      <c r="H83" s="8">
        <f>INDEX('Data Mentah'!$E$2:$E$101,MATCH(Table1[[#This Row],[Kode Produk]],'Data Mentah'!$C$2:$C$101,0))</f>
        <v>3</v>
      </c>
      <c r="I83" s="9">
        <f>Table1[[#This Row],[Harga Satuan]]*Table1[[#This Row],[Quantity]]</f>
        <v>1350000</v>
      </c>
      <c r="J83" s="8" t="str">
        <f>VLOOKUP(Table1[[#This Row],[ID]],tabel_data_mentah,6,FALSE)</f>
        <v>Ya</v>
      </c>
      <c r="K83" s="11" t="str">
        <f>IF(AND(Table1[[#This Row],[Member]]="Ya",Table1[[#This Row],[Total Harga]]&gt;1000000),"10%","0%")</f>
        <v>10%</v>
      </c>
      <c r="L83" s="9">
        <f>Table1[[#This Row],[Status Diskon]]*Table1[[#This Row],[Total Harga]]</f>
        <v>135000</v>
      </c>
      <c r="M83" s="9">
        <f>Table1[[#This Row],[Total Harga]]-Table1[[#This Row],[Nominal Diskon]]</f>
        <v>1215000</v>
      </c>
    </row>
    <row r="84" spans="1:13" x14ac:dyDescent="0.6">
      <c r="A84" s="30" t="s">
        <v>118</v>
      </c>
      <c r="B84" s="8" t="str">
        <f>PROPER(TRIM(VLOOKUP(Table1[[#This Row],[ID]],tabel_data_mentah,2,FALSE)))</f>
        <v>Rina Mr</v>
      </c>
      <c r="C84" s="8" t="str">
        <f>VLOOKUP(Table1[[#This Row],[ID]],tabel_data_mentah,3,FALSE)</f>
        <v>P-04</v>
      </c>
      <c r="D84" s="8" t="str">
        <f>VLOOKUP(Table1[[#This Row],[Kode Produk]],tabel_referensi,2,FALSE)</f>
        <v>Monitor 27 Inch</v>
      </c>
      <c r="E84" s="9">
        <f>VLOOKUP(Table1[[#This Row],[Kode Produk]],tabel_referensi,3,FALSE)</f>
        <v>2100000</v>
      </c>
      <c r="F84" s="8" t="str">
        <f>VLOOKUP(Table1[[#This Row],[Kode Produk]],tabel_referensi,4,FALSE)</f>
        <v>Komputer</v>
      </c>
      <c r="G84" s="10">
        <f>INDEX('Data Mentah'!$D$2:$D$101,MATCH(Table1[[#This Row],[Kode Produk]],'Data Mentah'!$C$2:$C$101,0))</f>
        <v>45058</v>
      </c>
      <c r="H84" s="8">
        <f>INDEX('Data Mentah'!$E$2:$E$101,MATCH(Table1[[#This Row],[Kode Produk]],'Data Mentah'!$C$2:$C$101,0))</f>
        <v>2</v>
      </c>
      <c r="I84" s="9">
        <f>Table1[[#This Row],[Harga Satuan]]*Table1[[#This Row],[Quantity]]</f>
        <v>4200000</v>
      </c>
      <c r="J84" s="8" t="str">
        <f>VLOOKUP(Table1[[#This Row],[ID]],tabel_data_mentah,6,FALSE)</f>
        <v>Tidak</v>
      </c>
      <c r="K84" s="11" t="str">
        <f>IF(AND(Table1[[#This Row],[Member]]="Ya",Table1[[#This Row],[Total Harga]]&gt;1000000),"10%","0%")</f>
        <v>0%</v>
      </c>
      <c r="L84" s="9">
        <f>Table1[[#This Row],[Status Diskon]]*Table1[[#This Row],[Total Harga]]</f>
        <v>0</v>
      </c>
      <c r="M84" s="9">
        <f>Table1[[#This Row],[Total Harga]]-Table1[[#This Row],[Nominal Diskon]]</f>
        <v>4200000</v>
      </c>
    </row>
    <row r="85" spans="1:13" x14ac:dyDescent="0.6">
      <c r="A85" s="30" t="s">
        <v>119</v>
      </c>
      <c r="B85" s="8" t="str">
        <f>PROPER(TRIM(VLOOKUP(Table1[[#This Row],[ID]],tabel_data_mentah,2,FALSE)))</f>
        <v>Agus Supriyadi</v>
      </c>
      <c r="C85" s="8" t="str">
        <f>VLOOKUP(Table1[[#This Row],[ID]],tabel_data_mentah,3,FALSE)</f>
        <v>P-05</v>
      </c>
      <c r="D85" s="8" t="str">
        <f>VLOOKUP(Table1[[#This Row],[Kode Produk]],tabel_referensi,2,FALSE)</f>
        <v>Flashdisk 64GB</v>
      </c>
      <c r="E85" s="9">
        <f>VLOOKUP(Table1[[#This Row],[Kode Produk]],tabel_referensi,3,FALSE)</f>
        <v>95000</v>
      </c>
      <c r="F85" s="8" t="str">
        <f>VLOOKUP(Table1[[#This Row],[Kode Produk]],tabel_referensi,4,FALSE)</f>
        <v>Aksesoris</v>
      </c>
      <c r="G85" s="10">
        <f>INDEX('Data Mentah'!$D$2:$D$101,MATCH(Table1[[#This Row],[Kode Produk]],'Data Mentah'!$C$2:$C$101,0))</f>
        <v>45097</v>
      </c>
      <c r="H85" s="8">
        <f>INDEX('Data Mentah'!$E$2:$E$101,MATCH(Table1[[#This Row],[Kode Produk]],'Data Mentah'!$C$2:$C$101,0))</f>
        <v>5</v>
      </c>
      <c r="I85" s="9">
        <f>Table1[[#This Row],[Harga Satuan]]*Table1[[#This Row],[Quantity]]</f>
        <v>475000</v>
      </c>
      <c r="J85" s="8" t="str">
        <f>VLOOKUP(Table1[[#This Row],[ID]],tabel_data_mentah,6,FALSE)</f>
        <v>Ya</v>
      </c>
      <c r="K85" s="11" t="str">
        <f>IF(AND(Table1[[#This Row],[Member]]="Ya",Table1[[#This Row],[Total Harga]]&gt;1000000),"10%","0%")</f>
        <v>0%</v>
      </c>
      <c r="L85" s="9">
        <f>Table1[[#This Row],[Status Diskon]]*Table1[[#This Row],[Total Harga]]</f>
        <v>0</v>
      </c>
      <c r="M85" s="9">
        <f>Table1[[#This Row],[Total Harga]]-Table1[[#This Row],[Nominal Diskon]]</f>
        <v>475000</v>
      </c>
    </row>
    <row r="86" spans="1:13" x14ac:dyDescent="0.6">
      <c r="A86" s="30" t="s">
        <v>120</v>
      </c>
      <c r="B86" s="8" t="str">
        <f>PROPER(TRIM(VLOOKUP(Table1[[#This Row],[ID]],tabel_data_mentah,2,FALSE)))</f>
        <v>Nina Herlina</v>
      </c>
      <c r="C86" s="8" t="str">
        <f>VLOOKUP(Table1[[#This Row],[ID]],tabel_data_mentah,3,FALSE)</f>
        <v>P-01</v>
      </c>
      <c r="D86" s="8" t="str">
        <f>VLOOKUP(Table1[[#This Row],[Kode Produk]],tabel_referensi,2,FALSE)</f>
        <v>Laptop Pro 14</v>
      </c>
      <c r="E86" s="9">
        <f>VLOOKUP(Table1[[#This Row],[Kode Produk]],tabel_referensi,3,FALSE)</f>
        <v>12500000</v>
      </c>
      <c r="F86" s="8" t="str">
        <f>VLOOKUP(Table1[[#This Row],[Kode Produk]],tabel_referensi,4,FALSE)</f>
        <v>Komputer</v>
      </c>
      <c r="G86" s="10">
        <f>INDEX('Data Mentah'!$D$2:$D$101,MATCH(Table1[[#This Row],[Kode Produk]],'Data Mentah'!$C$2:$C$101,0))</f>
        <v>44938</v>
      </c>
      <c r="H86" s="8">
        <f>INDEX('Data Mentah'!$E$2:$E$101,MATCH(Table1[[#This Row],[Kode Produk]],'Data Mentah'!$C$2:$C$101,0))</f>
        <v>2</v>
      </c>
      <c r="I86" s="9">
        <f>Table1[[#This Row],[Harga Satuan]]*Table1[[#This Row],[Quantity]]</f>
        <v>25000000</v>
      </c>
      <c r="J86" s="8" t="str">
        <f>VLOOKUP(Table1[[#This Row],[ID]],tabel_data_mentah,6,FALSE)</f>
        <v>Tidak</v>
      </c>
      <c r="K86" s="11" t="str">
        <f>IF(AND(Table1[[#This Row],[Member]]="Ya",Table1[[#This Row],[Total Harga]]&gt;1000000),"10%","0%")</f>
        <v>0%</v>
      </c>
      <c r="L86" s="9">
        <f>Table1[[#This Row],[Status Diskon]]*Table1[[#This Row],[Total Harga]]</f>
        <v>0</v>
      </c>
      <c r="M86" s="9">
        <f>Table1[[#This Row],[Total Harga]]-Table1[[#This Row],[Nominal Diskon]]</f>
        <v>25000000</v>
      </c>
    </row>
    <row r="87" spans="1:13" x14ac:dyDescent="0.6">
      <c r="A87" s="30" t="s">
        <v>121</v>
      </c>
      <c r="B87" s="8" t="str">
        <f>PROPER(TRIM(VLOOKUP(Table1[[#This Row],[ID]],tabel_data_mentah,2,FALSE)))</f>
        <v>Doni Salmanan</v>
      </c>
      <c r="C87" s="8" t="str">
        <f>VLOOKUP(Table1[[#This Row],[ID]],tabel_data_mentah,3,FALSE)</f>
        <v>P-02</v>
      </c>
      <c r="D87" s="8" t="str">
        <f>VLOOKUP(Table1[[#This Row],[Kode Produk]],tabel_referensi,2,FALSE)</f>
        <v>Mouse Wireless</v>
      </c>
      <c r="E87" s="9">
        <f>VLOOKUP(Table1[[#This Row],[Kode Produk]],tabel_referensi,3,FALSE)</f>
        <v>150000</v>
      </c>
      <c r="F87" s="8" t="str">
        <f>VLOOKUP(Table1[[#This Row],[Kode Produk]],tabel_referensi,4,FALSE)</f>
        <v>Aksesoris</v>
      </c>
      <c r="G87" s="10">
        <f>INDEX('Data Mentah'!$D$2:$D$101,MATCH(Table1[[#This Row],[Kode Produk]],'Data Mentah'!$C$2:$C$101,0))</f>
        <v>44972</v>
      </c>
      <c r="H87" s="8">
        <f>INDEX('Data Mentah'!$E$2:$E$101,MATCH(Table1[[#This Row],[Kode Produk]],'Data Mentah'!$C$2:$C$101,0))</f>
        <v>1</v>
      </c>
      <c r="I87" s="9">
        <f>Table1[[#This Row],[Harga Satuan]]*Table1[[#This Row],[Quantity]]</f>
        <v>150000</v>
      </c>
      <c r="J87" s="8" t="str">
        <f>VLOOKUP(Table1[[#This Row],[ID]],tabel_data_mentah,6,FALSE)</f>
        <v>Ya</v>
      </c>
      <c r="K87" s="11" t="str">
        <f>IF(AND(Table1[[#This Row],[Member]]="Ya",Table1[[#This Row],[Total Harga]]&gt;1000000),"10%","0%")</f>
        <v>0%</v>
      </c>
      <c r="L87" s="9">
        <f>Table1[[#This Row],[Status Diskon]]*Table1[[#This Row],[Total Harga]]</f>
        <v>0</v>
      </c>
      <c r="M87" s="9">
        <f>Table1[[#This Row],[Total Harga]]-Table1[[#This Row],[Nominal Diskon]]</f>
        <v>150000</v>
      </c>
    </row>
    <row r="88" spans="1:13" x14ac:dyDescent="0.6">
      <c r="A88" s="30" t="s">
        <v>122</v>
      </c>
      <c r="B88" s="8" t="str">
        <f>PROPER(TRIM(VLOOKUP(Table1[[#This Row],[ID]],tabel_data_mentah,2,FALSE)))</f>
        <v>Fajar Nugraha</v>
      </c>
      <c r="C88" s="8" t="str">
        <f>VLOOKUP(Table1[[#This Row],[ID]],tabel_data_mentah,3,FALSE)</f>
        <v>P-03</v>
      </c>
      <c r="D88" s="8" t="str">
        <f>VLOOKUP(Table1[[#This Row],[Kode Produk]],tabel_referensi,2,FALSE)</f>
        <v>Keyboard Mechanical</v>
      </c>
      <c r="E88" s="9">
        <f>VLOOKUP(Table1[[#This Row],[Kode Produk]],tabel_referensi,3,FALSE)</f>
        <v>450000</v>
      </c>
      <c r="F88" s="8" t="str">
        <f>VLOOKUP(Table1[[#This Row],[Kode Produk]],tabel_referensi,4,FALSE)</f>
        <v>Aksesoris</v>
      </c>
      <c r="G88" s="10">
        <f>INDEX('Data Mentah'!$D$2:$D$101,MATCH(Table1[[#This Row],[Kode Produk]],'Data Mentah'!$C$2:$C$101,0))</f>
        <v>44995</v>
      </c>
      <c r="H88" s="8">
        <f>INDEX('Data Mentah'!$E$2:$E$101,MATCH(Table1[[#This Row],[Kode Produk]],'Data Mentah'!$C$2:$C$101,0))</f>
        <v>3</v>
      </c>
      <c r="I88" s="9">
        <f>Table1[[#This Row],[Harga Satuan]]*Table1[[#This Row],[Quantity]]</f>
        <v>1350000</v>
      </c>
      <c r="J88" s="8" t="str">
        <f>VLOOKUP(Table1[[#This Row],[ID]],tabel_data_mentah,6,FALSE)</f>
        <v>Tidak</v>
      </c>
      <c r="K88" s="11" t="str">
        <f>IF(AND(Table1[[#This Row],[Member]]="Ya",Table1[[#This Row],[Total Harga]]&gt;1000000),"10%","0%")</f>
        <v>0%</v>
      </c>
      <c r="L88" s="9">
        <f>Table1[[#This Row],[Status Diskon]]*Table1[[#This Row],[Total Harga]]</f>
        <v>0</v>
      </c>
      <c r="M88" s="9">
        <f>Table1[[#This Row],[Total Harga]]-Table1[[#This Row],[Nominal Diskon]]</f>
        <v>1350000</v>
      </c>
    </row>
    <row r="89" spans="1:13" x14ac:dyDescent="0.6">
      <c r="A89" s="30" t="s">
        <v>123</v>
      </c>
      <c r="B89" s="8" t="str">
        <f>PROPER(TRIM(VLOOKUP(Table1[[#This Row],[ID]],tabel_data_mentah,2,FALSE)))</f>
        <v>Gina Sonia</v>
      </c>
      <c r="C89" s="8" t="str">
        <f>VLOOKUP(Table1[[#This Row],[ID]],tabel_data_mentah,3,FALSE)</f>
        <v>P-04</v>
      </c>
      <c r="D89" s="8" t="str">
        <f>VLOOKUP(Table1[[#This Row],[Kode Produk]],tabel_referensi,2,FALSE)</f>
        <v>Monitor 27 Inch</v>
      </c>
      <c r="E89" s="9">
        <f>VLOOKUP(Table1[[#This Row],[Kode Produk]],tabel_referensi,3,FALSE)</f>
        <v>2100000</v>
      </c>
      <c r="F89" s="8" t="str">
        <f>VLOOKUP(Table1[[#This Row],[Kode Produk]],tabel_referensi,4,FALSE)</f>
        <v>Komputer</v>
      </c>
      <c r="G89" s="10">
        <f>INDEX('Data Mentah'!$D$2:$D$101,MATCH(Table1[[#This Row],[Kode Produk]],'Data Mentah'!$C$2:$C$101,0))</f>
        <v>45058</v>
      </c>
      <c r="H89" s="8">
        <f>INDEX('Data Mentah'!$E$2:$E$101,MATCH(Table1[[#This Row],[Kode Produk]],'Data Mentah'!$C$2:$C$101,0))</f>
        <v>2</v>
      </c>
      <c r="I89" s="9">
        <f>Table1[[#This Row],[Harga Satuan]]*Table1[[#This Row],[Quantity]]</f>
        <v>4200000</v>
      </c>
      <c r="J89" s="8" t="str">
        <f>VLOOKUP(Table1[[#This Row],[ID]],tabel_data_mentah,6,FALSE)</f>
        <v>Ya</v>
      </c>
      <c r="K89" s="11" t="str">
        <f>IF(AND(Table1[[#This Row],[Member]]="Ya",Table1[[#This Row],[Total Harga]]&gt;1000000),"10%","0%")</f>
        <v>10%</v>
      </c>
      <c r="L89" s="9">
        <f>Table1[[#This Row],[Status Diskon]]*Table1[[#This Row],[Total Harga]]</f>
        <v>420000</v>
      </c>
      <c r="M89" s="9">
        <f>Table1[[#This Row],[Total Harga]]-Table1[[#This Row],[Nominal Diskon]]</f>
        <v>3780000</v>
      </c>
    </row>
    <row r="90" spans="1:13" x14ac:dyDescent="0.6">
      <c r="A90" s="30" t="s">
        <v>124</v>
      </c>
      <c r="B90" s="8" t="str">
        <f>PROPER(TRIM(VLOOKUP(Table1[[#This Row],[ID]],tabel_data_mentah,2,FALSE)))</f>
        <v>Hendra Gunawan</v>
      </c>
      <c r="C90" s="8" t="str">
        <f>VLOOKUP(Table1[[#This Row],[ID]],tabel_data_mentah,3,FALSE)</f>
        <v>P-05</v>
      </c>
      <c r="D90" s="8" t="str">
        <f>VLOOKUP(Table1[[#This Row],[Kode Produk]],tabel_referensi,2,FALSE)</f>
        <v>Flashdisk 64GB</v>
      </c>
      <c r="E90" s="9">
        <f>VLOOKUP(Table1[[#This Row],[Kode Produk]],tabel_referensi,3,FALSE)</f>
        <v>95000</v>
      </c>
      <c r="F90" s="8" t="str">
        <f>VLOOKUP(Table1[[#This Row],[Kode Produk]],tabel_referensi,4,FALSE)</f>
        <v>Aksesoris</v>
      </c>
      <c r="G90" s="10">
        <f>INDEX('Data Mentah'!$D$2:$D$101,MATCH(Table1[[#This Row],[Kode Produk]],'Data Mentah'!$C$2:$C$101,0))</f>
        <v>45097</v>
      </c>
      <c r="H90" s="8">
        <f>INDEX('Data Mentah'!$E$2:$E$101,MATCH(Table1[[#This Row],[Kode Produk]],'Data Mentah'!$C$2:$C$101,0))</f>
        <v>5</v>
      </c>
      <c r="I90" s="9">
        <f>Table1[[#This Row],[Harga Satuan]]*Table1[[#This Row],[Quantity]]</f>
        <v>475000</v>
      </c>
      <c r="J90" s="8" t="str">
        <f>VLOOKUP(Table1[[#This Row],[ID]],tabel_data_mentah,6,FALSE)</f>
        <v>Tidak</v>
      </c>
      <c r="K90" s="11" t="str">
        <f>IF(AND(Table1[[#This Row],[Member]]="Ya",Table1[[#This Row],[Total Harga]]&gt;1000000),"10%","0%")</f>
        <v>0%</v>
      </c>
      <c r="L90" s="9">
        <f>Table1[[#This Row],[Status Diskon]]*Table1[[#This Row],[Total Harga]]</f>
        <v>0</v>
      </c>
      <c r="M90" s="9">
        <f>Table1[[#This Row],[Total Harga]]-Table1[[#This Row],[Nominal Diskon]]</f>
        <v>475000</v>
      </c>
    </row>
    <row r="91" spans="1:13" x14ac:dyDescent="0.6">
      <c r="A91" s="30" t="s">
        <v>125</v>
      </c>
      <c r="B91" s="8" t="str">
        <f>PROPER(TRIM(VLOOKUP(Table1[[#This Row],[ID]],tabel_data_mentah,2,FALSE)))</f>
        <v>Indra Bekti</v>
      </c>
      <c r="C91" s="8" t="str">
        <f>VLOOKUP(Table1[[#This Row],[ID]],tabel_data_mentah,3,FALSE)</f>
        <v>P-01</v>
      </c>
      <c r="D91" s="8" t="str">
        <f>VLOOKUP(Table1[[#This Row],[Kode Produk]],tabel_referensi,2,FALSE)</f>
        <v>Laptop Pro 14</v>
      </c>
      <c r="E91" s="9">
        <f>VLOOKUP(Table1[[#This Row],[Kode Produk]],tabel_referensi,3,FALSE)</f>
        <v>12500000</v>
      </c>
      <c r="F91" s="8" t="str">
        <f>VLOOKUP(Table1[[#This Row],[Kode Produk]],tabel_referensi,4,FALSE)</f>
        <v>Komputer</v>
      </c>
      <c r="G91" s="10">
        <f>INDEX('Data Mentah'!$D$2:$D$101,MATCH(Table1[[#This Row],[Kode Produk]],'Data Mentah'!$C$2:$C$101,0))</f>
        <v>44938</v>
      </c>
      <c r="H91" s="8">
        <f>INDEX('Data Mentah'!$E$2:$E$101,MATCH(Table1[[#This Row],[Kode Produk]],'Data Mentah'!$C$2:$C$101,0))</f>
        <v>2</v>
      </c>
      <c r="I91" s="9">
        <f>Table1[[#This Row],[Harga Satuan]]*Table1[[#This Row],[Quantity]]</f>
        <v>25000000</v>
      </c>
      <c r="J91" s="8" t="str">
        <f>VLOOKUP(Table1[[#This Row],[ID]],tabel_data_mentah,6,FALSE)</f>
        <v>Ya</v>
      </c>
      <c r="K91" s="11" t="str">
        <f>IF(AND(Table1[[#This Row],[Member]]="Ya",Table1[[#This Row],[Total Harga]]&gt;1000000),"10%","0%")</f>
        <v>10%</v>
      </c>
      <c r="L91" s="9">
        <f>Table1[[#This Row],[Status Diskon]]*Table1[[#This Row],[Total Harga]]</f>
        <v>2500000</v>
      </c>
      <c r="M91" s="9">
        <f>Table1[[#This Row],[Total Harga]]-Table1[[#This Row],[Nominal Diskon]]</f>
        <v>22500000</v>
      </c>
    </row>
    <row r="92" spans="1:13" x14ac:dyDescent="0.6">
      <c r="A92" s="30" t="s">
        <v>126</v>
      </c>
      <c r="B92" s="8" t="str">
        <f>PROPER(TRIM(VLOOKUP(Table1[[#This Row],[ID]],tabel_data_mentah,2,FALSE)))</f>
        <v>Joko Widodo</v>
      </c>
      <c r="C92" s="8" t="str">
        <f>VLOOKUP(Table1[[#This Row],[ID]],tabel_data_mentah,3,FALSE)</f>
        <v>P-02</v>
      </c>
      <c r="D92" s="8" t="str">
        <f>VLOOKUP(Table1[[#This Row],[Kode Produk]],tabel_referensi,2,FALSE)</f>
        <v>Mouse Wireless</v>
      </c>
      <c r="E92" s="9">
        <f>VLOOKUP(Table1[[#This Row],[Kode Produk]],tabel_referensi,3,FALSE)</f>
        <v>150000</v>
      </c>
      <c r="F92" s="8" t="str">
        <f>VLOOKUP(Table1[[#This Row],[Kode Produk]],tabel_referensi,4,FALSE)</f>
        <v>Aksesoris</v>
      </c>
      <c r="G92" s="10">
        <f>INDEX('Data Mentah'!$D$2:$D$101,MATCH(Table1[[#This Row],[Kode Produk]],'Data Mentah'!$C$2:$C$101,0))</f>
        <v>44972</v>
      </c>
      <c r="H92" s="8">
        <f>INDEX('Data Mentah'!$E$2:$E$101,MATCH(Table1[[#This Row],[Kode Produk]],'Data Mentah'!$C$2:$C$101,0))</f>
        <v>1</v>
      </c>
      <c r="I92" s="9">
        <f>Table1[[#This Row],[Harga Satuan]]*Table1[[#This Row],[Quantity]]</f>
        <v>150000</v>
      </c>
      <c r="J92" s="8" t="str">
        <f>VLOOKUP(Table1[[#This Row],[ID]],tabel_data_mentah,6,FALSE)</f>
        <v>Tidak</v>
      </c>
      <c r="K92" s="11" t="str">
        <f>IF(AND(Table1[[#This Row],[Member]]="Ya",Table1[[#This Row],[Total Harga]]&gt;1000000),"10%","0%")</f>
        <v>0%</v>
      </c>
      <c r="L92" s="9">
        <f>Table1[[#This Row],[Status Diskon]]*Table1[[#This Row],[Total Harga]]</f>
        <v>0</v>
      </c>
      <c r="M92" s="9">
        <f>Table1[[#This Row],[Total Harga]]-Table1[[#This Row],[Nominal Diskon]]</f>
        <v>150000</v>
      </c>
    </row>
    <row r="93" spans="1:13" x14ac:dyDescent="0.6">
      <c r="A93" s="30" t="s">
        <v>127</v>
      </c>
      <c r="B93" s="8" t="str">
        <f>PROPER(TRIM(VLOOKUP(Table1[[#This Row],[ID]],tabel_data_mentah,2,FALSE)))</f>
        <v>Kiki Amalia</v>
      </c>
      <c r="C93" s="8" t="str">
        <f>VLOOKUP(Table1[[#This Row],[ID]],tabel_data_mentah,3,FALSE)</f>
        <v>P-03</v>
      </c>
      <c r="D93" s="8" t="str">
        <f>VLOOKUP(Table1[[#This Row],[Kode Produk]],tabel_referensi,2,FALSE)</f>
        <v>Keyboard Mechanical</v>
      </c>
      <c r="E93" s="9">
        <f>VLOOKUP(Table1[[#This Row],[Kode Produk]],tabel_referensi,3,FALSE)</f>
        <v>450000</v>
      </c>
      <c r="F93" s="8" t="str">
        <f>VLOOKUP(Table1[[#This Row],[Kode Produk]],tabel_referensi,4,FALSE)</f>
        <v>Aksesoris</v>
      </c>
      <c r="G93" s="10">
        <f>INDEX('Data Mentah'!$D$2:$D$101,MATCH(Table1[[#This Row],[Kode Produk]],'Data Mentah'!$C$2:$C$101,0))</f>
        <v>44995</v>
      </c>
      <c r="H93" s="8">
        <f>INDEX('Data Mentah'!$E$2:$E$101,MATCH(Table1[[#This Row],[Kode Produk]],'Data Mentah'!$C$2:$C$101,0))</f>
        <v>3</v>
      </c>
      <c r="I93" s="9">
        <f>Table1[[#This Row],[Harga Satuan]]*Table1[[#This Row],[Quantity]]</f>
        <v>1350000</v>
      </c>
      <c r="J93" s="8" t="str">
        <f>VLOOKUP(Table1[[#This Row],[ID]],tabel_data_mentah,6,FALSE)</f>
        <v>Ya</v>
      </c>
      <c r="K93" s="11" t="str">
        <f>IF(AND(Table1[[#This Row],[Member]]="Ya",Table1[[#This Row],[Total Harga]]&gt;1000000),"10%","0%")</f>
        <v>10%</v>
      </c>
      <c r="L93" s="9">
        <f>Table1[[#This Row],[Status Diskon]]*Table1[[#This Row],[Total Harga]]</f>
        <v>135000</v>
      </c>
      <c r="M93" s="9">
        <f>Table1[[#This Row],[Total Harga]]-Table1[[#This Row],[Nominal Diskon]]</f>
        <v>1215000</v>
      </c>
    </row>
    <row r="94" spans="1:13" x14ac:dyDescent="0.6">
      <c r="A94" s="30" t="s">
        <v>128</v>
      </c>
      <c r="B94" s="8" t="str">
        <f>PROPER(TRIM(VLOOKUP(Table1[[#This Row],[ID]],tabel_data_mentah,2,FALSE)))</f>
        <v>Lina Marlina</v>
      </c>
      <c r="C94" s="8" t="str">
        <f>VLOOKUP(Table1[[#This Row],[ID]],tabel_data_mentah,3,FALSE)</f>
        <v>P-04</v>
      </c>
      <c r="D94" s="8" t="str">
        <f>VLOOKUP(Table1[[#This Row],[Kode Produk]],tabel_referensi,2,FALSE)</f>
        <v>Monitor 27 Inch</v>
      </c>
      <c r="E94" s="9">
        <f>VLOOKUP(Table1[[#This Row],[Kode Produk]],tabel_referensi,3,FALSE)</f>
        <v>2100000</v>
      </c>
      <c r="F94" s="8" t="str">
        <f>VLOOKUP(Table1[[#This Row],[Kode Produk]],tabel_referensi,4,FALSE)</f>
        <v>Komputer</v>
      </c>
      <c r="G94" s="10">
        <f>INDEX('Data Mentah'!$D$2:$D$101,MATCH(Table1[[#This Row],[Kode Produk]],'Data Mentah'!$C$2:$C$101,0))</f>
        <v>45058</v>
      </c>
      <c r="H94" s="8">
        <f>INDEX('Data Mentah'!$E$2:$E$101,MATCH(Table1[[#This Row],[Kode Produk]],'Data Mentah'!$C$2:$C$101,0))</f>
        <v>2</v>
      </c>
      <c r="I94" s="9">
        <f>Table1[[#This Row],[Harga Satuan]]*Table1[[#This Row],[Quantity]]</f>
        <v>4200000</v>
      </c>
      <c r="J94" s="8" t="str">
        <f>VLOOKUP(Table1[[#This Row],[ID]],tabel_data_mentah,6,FALSE)</f>
        <v>Tidak</v>
      </c>
      <c r="K94" s="11" t="str">
        <f>IF(AND(Table1[[#This Row],[Member]]="Ya",Table1[[#This Row],[Total Harga]]&gt;1000000),"10%","0%")</f>
        <v>0%</v>
      </c>
      <c r="L94" s="9">
        <f>Table1[[#This Row],[Status Diskon]]*Table1[[#This Row],[Total Harga]]</f>
        <v>0</v>
      </c>
      <c r="M94" s="9">
        <f>Table1[[#This Row],[Total Harga]]-Table1[[#This Row],[Nominal Diskon]]</f>
        <v>4200000</v>
      </c>
    </row>
    <row r="95" spans="1:13" x14ac:dyDescent="0.6">
      <c r="A95" s="30" t="s">
        <v>129</v>
      </c>
      <c r="B95" s="8" t="str">
        <f>PROPER(TRIM(VLOOKUP(Table1[[#This Row],[ID]],tabel_data_mentah,2,FALSE)))</f>
        <v>Maman Abdurrahman</v>
      </c>
      <c r="C95" s="8" t="str">
        <f>VLOOKUP(Table1[[#This Row],[ID]],tabel_data_mentah,3,FALSE)</f>
        <v>P-05</v>
      </c>
      <c r="D95" s="8" t="str">
        <f>VLOOKUP(Table1[[#This Row],[Kode Produk]],tabel_referensi,2,FALSE)</f>
        <v>Flashdisk 64GB</v>
      </c>
      <c r="E95" s="9">
        <f>VLOOKUP(Table1[[#This Row],[Kode Produk]],tabel_referensi,3,FALSE)</f>
        <v>95000</v>
      </c>
      <c r="F95" s="8" t="str">
        <f>VLOOKUP(Table1[[#This Row],[Kode Produk]],tabel_referensi,4,FALSE)</f>
        <v>Aksesoris</v>
      </c>
      <c r="G95" s="10">
        <f>INDEX('Data Mentah'!$D$2:$D$101,MATCH(Table1[[#This Row],[Kode Produk]],'Data Mentah'!$C$2:$C$101,0))</f>
        <v>45097</v>
      </c>
      <c r="H95" s="8">
        <f>INDEX('Data Mentah'!$E$2:$E$101,MATCH(Table1[[#This Row],[Kode Produk]],'Data Mentah'!$C$2:$C$101,0))</f>
        <v>5</v>
      </c>
      <c r="I95" s="9">
        <f>Table1[[#This Row],[Harga Satuan]]*Table1[[#This Row],[Quantity]]</f>
        <v>475000</v>
      </c>
      <c r="J95" s="8" t="str">
        <f>VLOOKUP(Table1[[#This Row],[ID]],tabel_data_mentah,6,FALSE)</f>
        <v>Ya</v>
      </c>
      <c r="K95" s="11" t="str">
        <f>IF(AND(Table1[[#This Row],[Member]]="Ya",Table1[[#This Row],[Total Harga]]&gt;1000000),"10%","0%")</f>
        <v>0%</v>
      </c>
      <c r="L95" s="9">
        <f>Table1[[#This Row],[Status Diskon]]*Table1[[#This Row],[Total Harga]]</f>
        <v>0</v>
      </c>
      <c r="M95" s="9">
        <f>Table1[[#This Row],[Total Harga]]-Table1[[#This Row],[Nominal Diskon]]</f>
        <v>475000</v>
      </c>
    </row>
    <row r="96" spans="1:13" x14ac:dyDescent="0.6">
      <c r="A96" s="30" t="s">
        <v>130</v>
      </c>
      <c r="B96" s="8" t="str">
        <f>PROPER(TRIM(VLOOKUP(Table1[[#This Row],[ID]],tabel_data_mentah,2,FALSE)))</f>
        <v>Nanda Saputra</v>
      </c>
      <c r="C96" s="8" t="str">
        <f>VLOOKUP(Table1[[#This Row],[ID]],tabel_data_mentah,3,FALSE)</f>
        <v>P-01</v>
      </c>
      <c r="D96" s="8" t="str">
        <f>VLOOKUP(Table1[[#This Row],[Kode Produk]],tabel_referensi,2,FALSE)</f>
        <v>Laptop Pro 14</v>
      </c>
      <c r="E96" s="9">
        <f>VLOOKUP(Table1[[#This Row],[Kode Produk]],tabel_referensi,3,FALSE)</f>
        <v>12500000</v>
      </c>
      <c r="F96" s="8" t="str">
        <f>VLOOKUP(Table1[[#This Row],[Kode Produk]],tabel_referensi,4,FALSE)</f>
        <v>Komputer</v>
      </c>
      <c r="G96" s="10">
        <f>INDEX('Data Mentah'!$D$2:$D$101,MATCH(Table1[[#This Row],[Kode Produk]],'Data Mentah'!$C$2:$C$101,0))</f>
        <v>44938</v>
      </c>
      <c r="H96" s="8">
        <f>INDEX('Data Mentah'!$E$2:$E$101,MATCH(Table1[[#This Row],[Kode Produk]],'Data Mentah'!$C$2:$C$101,0))</f>
        <v>2</v>
      </c>
      <c r="I96" s="9">
        <f>Table1[[#This Row],[Harga Satuan]]*Table1[[#This Row],[Quantity]]</f>
        <v>25000000</v>
      </c>
      <c r="J96" s="8" t="str">
        <f>VLOOKUP(Table1[[#This Row],[ID]],tabel_data_mentah,6,FALSE)</f>
        <v>Tidak</v>
      </c>
      <c r="K96" s="11" t="str">
        <f>IF(AND(Table1[[#This Row],[Member]]="Ya",Table1[[#This Row],[Total Harga]]&gt;1000000),"10%","0%")</f>
        <v>0%</v>
      </c>
      <c r="L96" s="9">
        <f>Table1[[#This Row],[Status Diskon]]*Table1[[#This Row],[Total Harga]]</f>
        <v>0</v>
      </c>
      <c r="M96" s="9">
        <f>Table1[[#This Row],[Total Harga]]-Table1[[#This Row],[Nominal Diskon]]</f>
        <v>25000000</v>
      </c>
    </row>
    <row r="97" spans="1:13" x14ac:dyDescent="0.6">
      <c r="A97" s="30" t="s">
        <v>131</v>
      </c>
      <c r="B97" s="8" t="str">
        <f>PROPER(TRIM(VLOOKUP(Table1[[#This Row],[ID]],tabel_data_mentah,2,FALSE)))</f>
        <v>Oki Setiana</v>
      </c>
      <c r="C97" s="8" t="str">
        <f>VLOOKUP(Table1[[#This Row],[ID]],tabel_data_mentah,3,FALSE)</f>
        <v>P-02</v>
      </c>
      <c r="D97" s="8" t="str">
        <f>VLOOKUP(Table1[[#This Row],[Kode Produk]],tabel_referensi,2,FALSE)</f>
        <v>Mouse Wireless</v>
      </c>
      <c r="E97" s="9">
        <f>VLOOKUP(Table1[[#This Row],[Kode Produk]],tabel_referensi,3,FALSE)</f>
        <v>150000</v>
      </c>
      <c r="F97" s="8" t="str">
        <f>VLOOKUP(Table1[[#This Row],[Kode Produk]],tabel_referensi,4,FALSE)</f>
        <v>Aksesoris</v>
      </c>
      <c r="G97" s="10">
        <f>INDEX('Data Mentah'!$D$2:$D$101,MATCH(Table1[[#This Row],[Kode Produk]],'Data Mentah'!$C$2:$C$101,0))</f>
        <v>44972</v>
      </c>
      <c r="H97" s="8">
        <f>INDEX('Data Mentah'!$E$2:$E$101,MATCH(Table1[[#This Row],[Kode Produk]],'Data Mentah'!$C$2:$C$101,0))</f>
        <v>1</v>
      </c>
      <c r="I97" s="9">
        <f>Table1[[#This Row],[Harga Satuan]]*Table1[[#This Row],[Quantity]]</f>
        <v>150000</v>
      </c>
      <c r="J97" s="8" t="str">
        <f>VLOOKUP(Table1[[#This Row],[ID]],tabel_data_mentah,6,FALSE)</f>
        <v>Ya</v>
      </c>
      <c r="K97" s="11" t="str">
        <f>IF(AND(Table1[[#This Row],[Member]]="Ya",Table1[[#This Row],[Total Harga]]&gt;1000000),"10%","0%")</f>
        <v>0%</v>
      </c>
      <c r="L97" s="9">
        <f>Table1[[#This Row],[Status Diskon]]*Table1[[#This Row],[Total Harga]]</f>
        <v>0</v>
      </c>
      <c r="M97" s="9">
        <f>Table1[[#This Row],[Total Harga]]-Table1[[#This Row],[Nominal Diskon]]</f>
        <v>150000</v>
      </c>
    </row>
    <row r="98" spans="1:13" x14ac:dyDescent="0.6">
      <c r="A98" s="30" t="s">
        <v>132</v>
      </c>
      <c r="B98" s="8" t="str">
        <f>PROPER(TRIM(VLOOKUP(Table1[[#This Row],[ID]],tabel_data_mentah,2,FALSE)))</f>
        <v>Putri Titian</v>
      </c>
      <c r="C98" s="8" t="str">
        <f>VLOOKUP(Table1[[#This Row],[ID]],tabel_data_mentah,3,FALSE)</f>
        <v>P-03</v>
      </c>
      <c r="D98" s="8" t="str">
        <f>VLOOKUP(Table1[[#This Row],[Kode Produk]],tabel_referensi,2,FALSE)</f>
        <v>Keyboard Mechanical</v>
      </c>
      <c r="E98" s="9">
        <f>VLOOKUP(Table1[[#This Row],[Kode Produk]],tabel_referensi,3,FALSE)</f>
        <v>450000</v>
      </c>
      <c r="F98" s="8" t="str">
        <f>VLOOKUP(Table1[[#This Row],[Kode Produk]],tabel_referensi,4,FALSE)</f>
        <v>Aksesoris</v>
      </c>
      <c r="G98" s="10">
        <f>INDEX('Data Mentah'!$D$2:$D$101,MATCH(Table1[[#This Row],[Kode Produk]],'Data Mentah'!$C$2:$C$101,0))</f>
        <v>44995</v>
      </c>
      <c r="H98" s="8">
        <f>INDEX('Data Mentah'!$E$2:$E$101,MATCH(Table1[[#This Row],[Kode Produk]],'Data Mentah'!$C$2:$C$101,0))</f>
        <v>3</v>
      </c>
      <c r="I98" s="9">
        <f>Table1[[#This Row],[Harga Satuan]]*Table1[[#This Row],[Quantity]]</f>
        <v>1350000</v>
      </c>
      <c r="J98" s="8" t="str">
        <f>VLOOKUP(Table1[[#This Row],[ID]],tabel_data_mentah,6,FALSE)</f>
        <v>Tidak</v>
      </c>
      <c r="K98" s="11" t="str">
        <f>IF(AND(Table1[[#This Row],[Member]]="Ya",Table1[[#This Row],[Total Harga]]&gt;1000000),"10%","0%")</f>
        <v>0%</v>
      </c>
      <c r="L98" s="9">
        <f>Table1[[#This Row],[Status Diskon]]*Table1[[#This Row],[Total Harga]]</f>
        <v>0</v>
      </c>
      <c r="M98" s="9">
        <f>Table1[[#This Row],[Total Harga]]-Table1[[#This Row],[Nominal Diskon]]</f>
        <v>1350000</v>
      </c>
    </row>
    <row r="99" spans="1:13" x14ac:dyDescent="0.6">
      <c r="A99" s="30" t="s">
        <v>133</v>
      </c>
      <c r="B99" s="8" t="str">
        <f>PROPER(TRIM(VLOOKUP(Table1[[#This Row],[ID]],tabel_data_mentah,2,FALSE)))</f>
        <v>Qory Sandioriva</v>
      </c>
      <c r="C99" s="8" t="str">
        <f>VLOOKUP(Table1[[#This Row],[ID]],tabel_data_mentah,3,FALSE)</f>
        <v>P-04</v>
      </c>
      <c r="D99" s="8" t="str">
        <f>VLOOKUP(Table1[[#This Row],[Kode Produk]],tabel_referensi,2,FALSE)</f>
        <v>Monitor 27 Inch</v>
      </c>
      <c r="E99" s="9">
        <f>VLOOKUP(Table1[[#This Row],[Kode Produk]],tabel_referensi,3,FALSE)</f>
        <v>2100000</v>
      </c>
      <c r="F99" s="8" t="str">
        <f>VLOOKUP(Table1[[#This Row],[Kode Produk]],tabel_referensi,4,FALSE)</f>
        <v>Komputer</v>
      </c>
      <c r="G99" s="10">
        <f>INDEX('Data Mentah'!$D$2:$D$101,MATCH(Table1[[#This Row],[Kode Produk]],'Data Mentah'!$C$2:$C$101,0))</f>
        <v>45058</v>
      </c>
      <c r="H99" s="8">
        <f>INDEX('Data Mentah'!$E$2:$E$101,MATCH(Table1[[#This Row],[Kode Produk]],'Data Mentah'!$C$2:$C$101,0))</f>
        <v>2</v>
      </c>
      <c r="I99" s="9">
        <f>Table1[[#This Row],[Harga Satuan]]*Table1[[#This Row],[Quantity]]</f>
        <v>4200000</v>
      </c>
      <c r="J99" s="8" t="str">
        <f>VLOOKUP(Table1[[#This Row],[ID]],tabel_data_mentah,6,FALSE)</f>
        <v>Ya</v>
      </c>
      <c r="K99" s="11" t="str">
        <f>IF(AND(Table1[[#This Row],[Member]]="Ya",Table1[[#This Row],[Total Harga]]&gt;1000000),"10%","0%")</f>
        <v>10%</v>
      </c>
      <c r="L99" s="9">
        <f>Table1[[#This Row],[Status Diskon]]*Table1[[#This Row],[Total Harga]]</f>
        <v>420000</v>
      </c>
      <c r="M99" s="9">
        <f>Table1[[#This Row],[Total Harga]]-Table1[[#This Row],[Nominal Diskon]]</f>
        <v>3780000</v>
      </c>
    </row>
    <row r="100" spans="1:13" x14ac:dyDescent="0.6">
      <c r="A100" s="30" t="s">
        <v>134</v>
      </c>
      <c r="B100" s="8" t="str">
        <f>PROPER(TRIM(VLOOKUP(Table1[[#This Row],[ID]],tabel_data_mentah,2,FALSE)))</f>
        <v>Reza Rahardian</v>
      </c>
      <c r="C100" s="8" t="str">
        <f>VLOOKUP(Table1[[#This Row],[ID]],tabel_data_mentah,3,FALSE)</f>
        <v>P-05</v>
      </c>
      <c r="D100" s="8" t="str">
        <f>VLOOKUP(Table1[[#This Row],[Kode Produk]],tabel_referensi,2,FALSE)</f>
        <v>Flashdisk 64GB</v>
      </c>
      <c r="E100" s="9">
        <f>VLOOKUP(Table1[[#This Row],[Kode Produk]],tabel_referensi,3,FALSE)</f>
        <v>95000</v>
      </c>
      <c r="F100" s="8" t="str">
        <f>VLOOKUP(Table1[[#This Row],[Kode Produk]],tabel_referensi,4,FALSE)</f>
        <v>Aksesoris</v>
      </c>
      <c r="G100" s="10">
        <f>INDEX('Data Mentah'!$D$2:$D$101,MATCH(Table1[[#This Row],[Kode Produk]],'Data Mentah'!$C$2:$C$101,0))</f>
        <v>45097</v>
      </c>
      <c r="H100" s="8">
        <f>INDEX('Data Mentah'!$E$2:$E$101,MATCH(Table1[[#This Row],[Kode Produk]],'Data Mentah'!$C$2:$C$101,0))</f>
        <v>5</v>
      </c>
      <c r="I100" s="9">
        <f>Table1[[#This Row],[Harga Satuan]]*Table1[[#This Row],[Quantity]]</f>
        <v>475000</v>
      </c>
      <c r="J100" s="8" t="str">
        <f>VLOOKUP(Table1[[#This Row],[ID]],tabel_data_mentah,6,FALSE)</f>
        <v>Tidak</v>
      </c>
      <c r="K100" s="11" t="str">
        <f>IF(AND(Table1[[#This Row],[Member]]="Ya",Table1[[#This Row],[Total Harga]]&gt;1000000),"10%","0%")</f>
        <v>0%</v>
      </c>
      <c r="L100" s="9">
        <f>Table1[[#This Row],[Status Diskon]]*Table1[[#This Row],[Total Harga]]</f>
        <v>0</v>
      </c>
      <c r="M100" s="9">
        <f>Table1[[#This Row],[Total Harga]]-Table1[[#This Row],[Nominal Diskon]]</f>
        <v>475000</v>
      </c>
    </row>
    <row r="101" spans="1:13" x14ac:dyDescent="0.6">
      <c r="A101" s="30" t="s">
        <v>135</v>
      </c>
      <c r="B101" s="8" t="str">
        <f>PROPER(TRIM(VLOOKUP(Table1[[#This Row],[ID]],tabel_data_mentah,2,FALSE)))</f>
        <v>Sisca Soewitomo</v>
      </c>
      <c r="C101" s="8" t="str">
        <f>VLOOKUP(Table1[[#This Row],[ID]],tabel_data_mentah,3,FALSE)</f>
        <v>P-01</v>
      </c>
      <c r="D101" s="8" t="str">
        <f>VLOOKUP(Table1[[#This Row],[Kode Produk]],tabel_referensi,2,FALSE)</f>
        <v>Laptop Pro 14</v>
      </c>
      <c r="E101" s="9">
        <f>VLOOKUP(Table1[[#This Row],[Kode Produk]],tabel_referensi,3,FALSE)</f>
        <v>12500000</v>
      </c>
      <c r="F101" s="8" t="str">
        <f>VLOOKUP(Table1[[#This Row],[Kode Produk]],tabel_referensi,4,FALSE)</f>
        <v>Komputer</v>
      </c>
      <c r="G101" s="10">
        <f>INDEX('Data Mentah'!$D$2:$D$101,MATCH(Table1[[#This Row],[Kode Produk]],'Data Mentah'!$C$2:$C$101,0))</f>
        <v>44938</v>
      </c>
      <c r="H101" s="8">
        <f>INDEX('Data Mentah'!$E$2:$E$101,MATCH(Table1[[#This Row],[Kode Produk]],'Data Mentah'!$C$2:$C$101,0))</f>
        <v>2</v>
      </c>
      <c r="I101" s="9">
        <f>Table1[[#This Row],[Harga Satuan]]*Table1[[#This Row],[Quantity]]</f>
        <v>25000000</v>
      </c>
      <c r="J101" s="8" t="str">
        <f>VLOOKUP(Table1[[#This Row],[ID]],tabel_data_mentah,6,FALSE)</f>
        <v>Ya</v>
      </c>
      <c r="K101" s="11" t="str">
        <f>IF(AND(Table1[[#This Row],[Member]]="Ya",Table1[[#This Row],[Total Harga]]&gt;1000000),"10%","0%")</f>
        <v>10%</v>
      </c>
      <c r="L101" s="9">
        <f>Table1[[#This Row],[Status Diskon]]*Table1[[#This Row],[Total Harga]]</f>
        <v>2500000</v>
      </c>
      <c r="M101" s="9">
        <f>Table1[[#This Row],[Total Harga]]-Table1[[#This Row],[Nominal Diskon]]</f>
        <v>22500000</v>
      </c>
    </row>
    <row r="102" spans="1:13" x14ac:dyDescent="0.6">
      <c r="A102" s="30" t="s">
        <v>136</v>
      </c>
      <c r="B102" s="8" t="str">
        <f>PROPER(TRIM(VLOOKUP(Table1[[#This Row],[ID]],tabel_data_mentah,2,FALSE)))</f>
        <v>Tora Sudiro</v>
      </c>
      <c r="C102" s="8" t="str">
        <f>VLOOKUP(Table1[[#This Row],[ID]],tabel_data_mentah,3,FALSE)</f>
        <v>P-02</v>
      </c>
      <c r="D102" s="8" t="str">
        <f>VLOOKUP(Table1[[#This Row],[Kode Produk]],tabel_referensi,2,FALSE)</f>
        <v>Mouse Wireless</v>
      </c>
      <c r="E102" s="9">
        <f>VLOOKUP(Table1[[#This Row],[Kode Produk]],tabel_referensi,3,FALSE)</f>
        <v>150000</v>
      </c>
      <c r="F102" s="8" t="str">
        <f>VLOOKUP(Table1[[#This Row],[Kode Produk]],tabel_referensi,4,FALSE)</f>
        <v>Aksesoris</v>
      </c>
      <c r="G102" s="10">
        <f>INDEX('Data Mentah'!$D$2:$D$101,MATCH(Table1[[#This Row],[Kode Produk]],'Data Mentah'!$C$2:$C$101,0))</f>
        <v>44972</v>
      </c>
      <c r="H102" s="8">
        <f>INDEX('Data Mentah'!$E$2:$E$101,MATCH(Table1[[#This Row],[Kode Produk]],'Data Mentah'!$C$2:$C$101,0))</f>
        <v>1</v>
      </c>
      <c r="I102" s="9">
        <f>Table1[[#This Row],[Harga Satuan]]*Table1[[#This Row],[Quantity]]</f>
        <v>150000</v>
      </c>
      <c r="J102" s="8" t="str">
        <f>VLOOKUP(Table1[[#This Row],[ID]],tabel_data_mentah,6,FALSE)</f>
        <v>Tidak</v>
      </c>
      <c r="K102" s="11" t="str">
        <f>IF(AND(Table1[[#This Row],[Member]]="Ya",Table1[[#This Row],[Total Harga]]&gt;1000000),"10%","0%")</f>
        <v>0%</v>
      </c>
      <c r="L102" s="9">
        <f>Table1[[#This Row],[Status Diskon]]*Table1[[#This Row],[Total Harga]]</f>
        <v>0</v>
      </c>
      <c r="M102" s="9">
        <f>Table1[[#This Row],[Total Harga]]-Table1[[#This Row],[Nominal Diskon]]</f>
        <v>150000</v>
      </c>
    </row>
    <row r="103" spans="1:13" x14ac:dyDescent="0.6">
      <c r="A103" s="30" t="s">
        <v>137</v>
      </c>
      <c r="B103" s="8" t="str">
        <f>PROPER(TRIM(VLOOKUP(Table1[[#This Row],[ID]],tabel_data_mentah,2,FALSE)))</f>
        <v>Umay Shahab</v>
      </c>
      <c r="C103" s="8" t="str">
        <f>VLOOKUP(Table1[[#This Row],[ID]],tabel_data_mentah,3,FALSE)</f>
        <v>P-03</v>
      </c>
      <c r="D103" s="8" t="str">
        <f>VLOOKUP(Table1[[#This Row],[Kode Produk]],tabel_referensi,2,FALSE)</f>
        <v>Keyboard Mechanical</v>
      </c>
      <c r="E103" s="9">
        <f>VLOOKUP(Table1[[#This Row],[Kode Produk]],tabel_referensi,3,FALSE)</f>
        <v>450000</v>
      </c>
      <c r="F103" s="8" t="str">
        <f>VLOOKUP(Table1[[#This Row],[Kode Produk]],tabel_referensi,4,FALSE)</f>
        <v>Aksesoris</v>
      </c>
      <c r="G103" s="10">
        <f>INDEX('Data Mentah'!$D$2:$D$101,MATCH(Table1[[#This Row],[Kode Produk]],'Data Mentah'!$C$2:$C$101,0))</f>
        <v>44995</v>
      </c>
      <c r="H103" s="8">
        <f>INDEX('Data Mentah'!$E$2:$E$101,MATCH(Table1[[#This Row],[Kode Produk]],'Data Mentah'!$C$2:$C$101,0))</f>
        <v>3</v>
      </c>
      <c r="I103" s="9">
        <f>Table1[[#This Row],[Harga Satuan]]*Table1[[#This Row],[Quantity]]</f>
        <v>1350000</v>
      </c>
      <c r="J103" s="8" t="str">
        <f>VLOOKUP(Table1[[#This Row],[ID]],tabel_data_mentah,6,FALSE)</f>
        <v>Ya</v>
      </c>
      <c r="K103" s="11" t="str">
        <f>IF(AND(Table1[[#This Row],[Member]]="Ya",Table1[[#This Row],[Total Harga]]&gt;1000000),"10%","0%")</f>
        <v>10%</v>
      </c>
      <c r="L103" s="9">
        <f>Table1[[#This Row],[Status Diskon]]*Table1[[#This Row],[Total Harga]]</f>
        <v>135000</v>
      </c>
      <c r="M103" s="9">
        <f>Table1[[#This Row],[Total Harga]]-Table1[[#This Row],[Nominal Diskon]]</f>
        <v>1215000</v>
      </c>
    </row>
  </sheetData>
  <mergeCells count="1">
    <mergeCell ref="A1:M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275F-9EF8-434E-84F9-CA286FD4A68B}">
  <dimension ref="A1:XFD19"/>
  <sheetViews>
    <sheetView showGridLines="0" zoomScale="85" zoomScaleNormal="85" workbookViewId="0">
      <selection activeCell="J13" sqref="J13"/>
    </sheetView>
  </sheetViews>
  <sheetFormatPr defaultRowHeight="21.75" x14ac:dyDescent="0.6"/>
  <cols>
    <col min="1" max="1" width="5.7109375" style="5" customWidth="1"/>
    <col min="2" max="2" width="22.5703125" style="5" customWidth="1"/>
    <col min="3" max="4" width="15.7109375" style="5" customWidth="1"/>
    <col min="5" max="5" width="10" style="5" bestFit="1" customWidth="1"/>
    <col min="6" max="6" width="12.7109375" style="5" customWidth="1"/>
    <col min="7" max="7" width="9.140625" style="5" customWidth="1"/>
    <col min="8" max="8" width="15.140625" style="5" customWidth="1"/>
    <col min="9" max="16384" width="9.140625" style="5"/>
  </cols>
  <sheetData>
    <row r="1" spans="1:15 16384:16384" ht="60" customHeight="1" x14ac:dyDescent="0.6">
      <c r="A1" s="13" t="s">
        <v>153</v>
      </c>
      <c r="B1" s="13"/>
      <c r="C1" s="13"/>
      <c r="D1" s="13"/>
      <c r="E1" s="13"/>
      <c r="F1" s="13"/>
      <c r="G1" s="13"/>
      <c r="H1" s="13"/>
      <c r="I1" s="12"/>
      <c r="J1" s="12"/>
      <c r="K1" s="12"/>
      <c r="L1" s="12"/>
      <c r="M1" s="12"/>
      <c r="N1" s="12"/>
      <c r="O1" s="12"/>
    </row>
    <row r="2" spans="1:15 16384:16384" x14ac:dyDescent="0.6">
      <c r="A2" s="15" t="s">
        <v>154</v>
      </c>
      <c r="B2" s="15"/>
      <c r="C2" s="15"/>
      <c r="D2" s="15"/>
      <c r="E2" s="15"/>
      <c r="F2" s="15"/>
      <c r="G2" s="15"/>
      <c r="H2" s="15"/>
      <c r="I2" s="19"/>
      <c r="J2" s="19"/>
      <c r="K2" s="19"/>
      <c r="L2" s="19"/>
      <c r="M2" s="19"/>
      <c r="N2" s="19"/>
    </row>
    <row r="4" spans="1:15 16384:16384" x14ac:dyDescent="0.6">
      <c r="A4" s="21" t="s">
        <v>155</v>
      </c>
      <c r="B4" s="24"/>
      <c r="C4" s="25" t="s">
        <v>156</v>
      </c>
      <c r="D4" s="26"/>
      <c r="E4" s="25" t="s">
        <v>157</v>
      </c>
      <c r="F4" s="24"/>
      <c r="G4" s="25" t="s">
        <v>158</v>
      </c>
      <c r="H4" s="24"/>
      <c r="I4" s="29"/>
    </row>
    <row r="5" spans="1:15 16384:16384" ht="21.75" customHeight="1" x14ac:dyDescent="0.6">
      <c r="A5" s="20">
        <f>SUM('Data Bersih'!M4:M103)</f>
        <v>589895000</v>
      </c>
      <c r="B5" s="27"/>
      <c r="C5" s="22">
        <f>AVERAGE('Data Bersih'!M4:M103)</f>
        <v>5898950</v>
      </c>
      <c r="D5" s="16"/>
      <c r="E5" s="22">
        <f>MAX('Data Bersih'!M4:M103)</f>
        <v>25000000</v>
      </c>
      <c r="F5" s="16"/>
      <c r="G5" s="22">
        <f>MIN('Data Bersih'!M4:M103)</f>
        <v>150000</v>
      </c>
      <c r="H5" s="27"/>
    </row>
    <row r="6" spans="1:15 16384:16384" ht="22.5" customHeight="1" thickBot="1" x14ac:dyDescent="0.65">
      <c r="A6" s="20"/>
      <c r="B6" s="27"/>
      <c r="C6" s="23"/>
      <c r="D6" s="18"/>
      <c r="E6" s="23"/>
      <c r="F6" s="18"/>
      <c r="G6" s="23"/>
      <c r="H6" s="28"/>
    </row>
    <row r="7" spans="1:15 16384:16384" x14ac:dyDescent="0.6">
      <c r="A7" s="17"/>
      <c r="B7" s="17"/>
    </row>
    <row r="8" spans="1:15 16384:16384" x14ac:dyDescent="0.6">
      <c r="A8" s="14" t="s">
        <v>159</v>
      </c>
      <c r="B8" s="14"/>
      <c r="C8" s="14"/>
      <c r="D8" s="14"/>
      <c r="E8" s="14"/>
      <c r="F8" s="14"/>
      <c r="G8" s="14"/>
      <c r="H8" s="14"/>
    </row>
    <row r="9" spans="1:15 16384:16384" ht="20.100000000000001" customHeight="1" x14ac:dyDescent="0.6">
      <c r="A9" s="36" t="s">
        <v>160</v>
      </c>
      <c r="B9" s="37" t="s">
        <v>2</v>
      </c>
      <c r="C9" s="38" t="s">
        <v>138</v>
      </c>
      <c r="D9" s="38"/>
      <c r="E9" s="38" t="s">
        <v>161</v>
      </c>
      <c r="F9" s="38"/>
      <c r="G9" s="38" t="s">
        <v>155</v>
      </c>
      <c r="H9" s="39"/>
    </row>
    <row r="10" spans="1:15 16384:16384" ht="20.100000000000001" customHeight="1" x14ac:dyDescent="0.6">
      <c r="A10" s="32">
        <v>1</v>
      </c>
      <c r="B10" s="30" t="s">
        <v>8</v>
      </c>
      <c r="C10" s="31" t="s">
        <v>141</v>
      </c>
      <c r="D10" s="31"/>
      <c r="E10" s="40">
        <f>SUMIF('Data Bersih'!C4:$C$103,Dashboard!B10,'Data Bersih'!H4:$H$103)</f>
        <v>40</v>
      </c>
      <c r="F10" s="40"/>
      <c r="G10" s="41">
        <f>SUMIF('Data Bersih'!C4:$C$103,Dashboard!B10,'Data Bersih'!M4:$M$103)</f>
        <v>472500000</v>
      </c>
      <c r="H10" s="42"/>
    </row>
    <row r="11" spans="1:15 16384:16384" ht="20.100000000000001" customHeight="1" x14ac:dyDescent="0.6">
      <c r="A11" s="32">
        <v>2</v>
      </c>
      <c r="B11" s="30" t="s">
        <v>12</v>
      </c>
      <c r="C11" s="31" t="s">
        <v>143</v>
      </c>
      <c r="D11" s="31"/>
      <c r="E11" s="40">
        <f>SUMIF('Data Bersih'!C5:$C$103,Dashboard!B11,'Data Bersih'!H5:$H$103)</f>
        <v>20</v>
      </c>
      <c r="F11" s="40"/>
      <c r="G11" s="41">
        <f>SUMIF('Data Bersih'!C5:$C$103,Dashboard!B11,'Data Bersih'!M5:$M$103)</f>
        <v>3000000</v>
      </c>
      <c r="H11" s="42"/>
    </row>
    <row r="12" spans="1:15 16384:16384" ht="20.100000000000001" customHeight="1" x14ac:dyDescent="0.6">
      <c r="A12" s="32">
        <v>3</v>
      </c>
      <c r="B12" s="30" t="s">
        <v>16</v>
      </c>
      <c r="C12" s="31" t="s">
        <v>145</v>
      </c>
      <c r="D12" s="31"/>
      <c r="E12" s="40">
        <f>SUMIF('Data Bersih'!C6:$C$103,Dashboard!B12,'Data Bersih'!H6:$H$103)</f>
        <v>60</v>
      </c>
      <c r="F12" s="40"/>
      <c r="G12" s="41">
        <f>SUMIF('Data Bersih'!C6:$C$103,Dashboard!B12,'Data Bersih'!M6:$M$103)</f>
        <v>25515000</v>
      </c>
      <c r="H12" s="42"/>
    </row>
    <row r="13" spans="1:15 16384:16384" ht="20.100000000000001" customHeight="1" x14ac:dyDescent="0.6">
      <c r="A13" s="32">
        <v>4</v>
      </c>
      <c r="B13" s="30" t="s">
        <v>21</v>
      </c>
      <c r="C13" s="31" t="s">
        <v>146</v>
      </c>
      <c r="D13" s="31"/>
      <c r="E13" s="40">
        <f>SUMIF('Data Bersih'!C7:$C$103,Dashboard!B13,'Data Bersih'!H7:$H$103)</f>
        <v>40</v>
      </c>
      <c r="F13" s="40"/>
      <c r="G13" s="41">
        <f>SUMIF('Data Bersih'!C7:$C$103,Dashboard!B13,'Data Bersih'!M7:$M$103)</f>
        <v>79380000</v>
      </c>
      <c r="H13" s="42"/>
    </row>
    <row r="14" spans="1:15 16384:16384" ht="20.100000000000001" customHeight="1" x14ac:dyDescent="0.6">
      <c r="A14" s="33">
        <v>5</v>
      </c>
      <c r="B14" s="34" t="s">
        <v>24</v>
      </c>
      <c r="C14" s="35" t="s">
        <v>147</v>
      </c>
      <c r="D14" s="35"/>
      <c r="E14" s="43">
        <f>SUMIF('Data Bersih'!C8:$C$103,Dashboard!B14,'Data Bersih'!H8:$H$103)</f>
        <v>100</v>
      </c>
      <c r="F14" s="43"/>
      <c r="G14" s="44">
        <f>SUMIF('Data Bersih'!C8:$C$103,Dashboard!B14,'Data Bersih'!M8:$M$103)</f>
        <v>9500000</v>
      </c>
      <c r="H14" s="45"/>
      <c r="XFD14" s="30"/>
    </row>
    <row r="16" spans="1:15 16384:16384" x14ac:dyDescent="0.6">
      <c r="A16" s="14" t="s">
        <v>163</v>
      </c>
      <c r="B16" s="14"/>
      <c r="C16" s="14"/>
      <c r="D16" s="14"/>
      <c r="E16" s="14"/>
      <c r="F16" s="14"/>
      <c r="G16" s="14"/>
      <c r="H16" s="14"/>
    </row>
    <row r="17" spans="1:8" x14ac:dyDescent="0.6">
      <c r="A17" s="36" t="s">
        <v>160</v>
      </c>
      <c r="B17" s="37" t="s">
        <v>162</v>
      </c>
      <c r="C17" s="38" t="s">
        <v>161</v>
      </c>
      <c r="D17" s="38"/>
      <c r="E17" s="38" t="s">
        <v>155</v>
      </c>
      <c r="F17" s="38"/>
      <c r="G17" s="38"/>
      <c r="H17" s="39"/>
    </row>
    <row r="18" spans="1:8" x14ac:dyDescent="0.6">
      <c r="A18" s="32">
        <v>1</v>
      </c>
      <c r="B18" s="30" t="s">
        <v>142</v>
      </c>
      <c r="C18" s="31">
        <f>SUMIF('Data Bersih'!F4:$F$103,Dashboard!B18,'Data Bersih'!H4:$H$103)</f>
        <v>80</v>
      </c>
      <c r="D18" s="31"/>
      <c r="E18" s="46">
        <f>SUMIF('Data Bersih'!F4:$F$103,Dashboard!B18,'Data Bersih'!M4:$M$103)</f>
        <v>551880000</v>
      </c>
      <c r="F18" s="46"/>
      <c r="G18" s="46"/>
      <c r="H18" s="47"/>
    </row>
    <row r="19" spans="1:8" x14ac:dyDescent="0.6">
      <c r="A19" s="33">
        <v>2</v>
      </c>
      <c r="B19" s="34" t="s">
        <v>144</v>
      </c>
      <c r="C19" s="35">
        <f>SUMIF('Data Bersih'!F5:$F$103,Dashboard!B19,'Data Bersih'!H5:$H$103)</f>
        <v>180</v>
      </c>
      <c r="D19" s="35"/>
      <c r="E19" s="48">
        <f>SUMIF('Data Bersih'!F5:$F$103,Dashboard!B19,'Data Bersih'!M5:$M$103)</f>
        <v>38015000</v>
      </c>
      <c r="F19" s="48"/>
      <c r="G19" s="48"/>
      <c r="H19" s="49"/>
    </row>
  </sheetData>
  <mergeCells count="36">
    <mergeCell ref="C19:D19"/>
    <mergeCell ref="E19:H19"/>
    <mergeCell ref="C17:D17"/>
    <mergeCell ref="C18:D18"/>
    <mergeCell ref="E17:H17"/>
    <mergeCell ref="E18:H18"/>
    <mergeCell ref="G14:H14"/>
    <mergeCell ref="E9:F9"/>
    <mergeCell ref="G9:H9"/>
    <mergeCell ref="C9:D9"/>
    <mergeCell ref="A16:H16"/>
    <mergeCell ref="E10:F10"/>
    <mergeCell ref="E11:F11"/>
    <mergeCell ref="E12:F12"/>
    <mergeCell ref="E13:F13"/>
    <mergeCell ref="E14:F14"/>
    <mergeCell ref="G10:H10"/>
    <mergeCell ref="G11:H11"/>
    <mergeCell ref="G12:H12"/>
    <mergeCell ref="G13:H13"/>
    <mergeCell ref="C10:D10"/>
    <mergeCell ref="C11:D11"/>
    <mergeCell ref="C12:D12"/>
    <mergeCell ref="C13:D13"/>
    <mergeCell ref="C14:D14"/>
    <mergeCell ref="G5:H6"/>
    <mergeCell ref="A1:H1"/>
    <mergeCell ref="A2:H2"/>
    <mergeCell ref="A8:H8"/>
    <mergeCell ref="A5:B6"/>
    <mergeCell ref="C4:D4"/>
    <mergeCell ref="C5:D6"/>
    <mergeCell ref="E4:F4"/>
    <mergeCell ref="E5:F6"/>
    <mergeCell ref="A4:B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Data Mentah</vt:lpstr>
      <vt:lpstr>Tabel Referensi</vt:lpstr>
      <vt:lpstr>Data Bersih</vt:lpstr>
      <vt:lpstr>Dashboard</vt:lpstr>
      <vt:lpstr>harga_satuan</vt:lpstr>
      <vt:lpstr>kode_produk_DM</vt:lpstr>
      <vt:lpstr>tabel_clean</vt:lpstr>
      <vt:lpstr>tabel_data_mentah</vt:lpstr>
      <vt:lpstr>tabel_referensi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 Ngere</dc:creator>
  <cp:lastModifiedBy>Aldy Ngere</cp:lastModifiedBy>
  <dcterms:created xsi:type="dcterms:W3CDTF">2026-08-11T11:38:32Z</dcterms:created>
  <dcterms:modified xsi:type="dcterms:W3CDTF">2026-08-11T15:18:52Z</dcterms:modified>
</cp:coreProperties>
</file>