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ldy\Documents\DATA ANALYST\MICROSOFT EXCEL\STUDY CASE\STUDY CASE 1\"/>
    </mc:Choice>
  </mc:AlternateContent>
  <xr:revisionPtr revIDLastSave="0" documentId="13_ncr:1_{F9B5F17E-E73F-4935-BF96-E3C184335C88}" xr6:coauthVersionLast="47" xr6:coauthVersionMax="47" xr10:uidLastSave="{00000000-0000-0000-0000-000000000000}"/>
  <bookViews>
    <workbookView xWindow="-120" yWindow="-120" windowWidth="20730" windowHeight="11760" firstSheet="8" activeTab="11" xr2:uid="{1E8D84F2-0BE7-4915-BC7D-0376641989F5}"/>
  </bookViews>
  <sheets>
    <sheet name="Data Mentah" sheetId="1" r:id="rId1"/>
    <sheet name="Tabel Referensi" sheetId="2" r:id="rId2"/>
    <sheet name="Penjualan" sheetId="3" r:id="rId3"/>
    <sheet name="TotalSalesFlashdisk" sheetId="5" r:id="rId4"/>
    <sheet name="TotalSalesKeyboard" sheetId="6" r:id="rId5"/>
    <sheet name="TotalSalesMonitor" sheetId="8" r:id="rId6"/>
    <sheet name="TotalSalesLaptopPro" sheetId="7" r:id="rId7"/>
    <sheet name="TotalSalesMouse" sheetId="9" r:id="rId8"/>
    <sheet name="CategorySales" sheetId="10" r:id="rId9"/>
    <sheet name="Top5Sales" sheetId="11" r:id="rId10"/>
    <sheet name="Sheet3" sheetId="14" r:id="rId11"/>
    <sheet name="Dashboard" sheetId="12" r:id="rId12"/>
  </sheets>
  <externalReferences>
    <externalReference r:id="rId13"/>
  </externalReferences>
  <definedNames>
    <definedName name="NativeTimeline_Tanggal_Beli3">#N/A</definedName>
    <definedName name="Slicer_Member">#N/A</definedName>
    <definedName name="Slicer_Status_Diskon">#N/A</definedName>
    <definedName name="tabel_data_mentah">'[1]Data Mentah'!$A$1:$F$101</definedName>
    <definedName name="tabel_referensi">'[1]Tabel Referensi'!$A$1:$D$6</definedName>
  </definedNames>
  <calcPr calcId="191029"/>
  <pivotCaches>
    <pivotCache cacheId="3"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3" l="1"/>
  <c r="J8" i="3"/>
  <c r="J12" i="3"/>
  <c r="J16" i="3"/>
  <c r="J20" i="3"/>
  <c r="J24" i="3"/>
  <c r="J28" i="3"/>
  <c r="J32" i="3"/>
  <c r="J36" i="3"/>
  <c r="J40" i="3"/>
  <c r="J44" i="3"/>
  <c r="J48" i="3"/>
  <c r="J52" i="3"/>
  <c r="J56" i="3"/>
  <c r="J60" i="3"/>
  <c r="J64" i="3"/>
  <c r="J68" i="3"/>
  <c r="J72" i="3"/>
  <c r="J76" i="3"/>
  <c r="J80" i="3"/>
  <c r="J84" i="3"/>
  <c r="J88" i="3"/>
  <c r="J91" i="3"/>
  <c r="J96" i="3"/>
  <c r="J100" i="3"/>
  <c r="J5" i="3"/>
  <c r="J9" i="3"/>
  <c r="J13" i="3"/>
  <c r="J17" i="3"/>
  <c r="J21" i="3"/>
  <c r="J25" i="3"/>
  <c r="J29" i="3"/>
  <c r="J33" i="3"/>
  <c r="J37" i="3"/>
  <c r="J41" i="3"/>
  <c r="J45" i="3"/>
  <c r="J49" i="3"/>
  <c r="J53" i="3"/>
  <c r="J57" i="3"/>
  <c r="J61" i="3"/>
  <c r="J65" i="3"/>
  <c r="J69" i="3"/>
  <c r="J73" i="3"/>
  <c r="J77" i="3"/>
  <c r="J81" i="3"/>
  <c r="J85" i="3"/>
  <c r="J89" i="3"/>
  <c r="J92" i="3"/>
  <c r="J97" i="3"/>
  <c r="J101" i="3"/>
  <c r="J6" i="3"/>
  <c r="J10" i="3"/>
  <c r="J14" i="3"/>
  <c r="J18" i="3"/>
  <c r="J22" i="3"/>
  <c r="J26" i="3"/>
  <c r="J30" i="3"/>
  <c r="J34" i="3"/>
  <c r="J38" i="3"/>
  <c r="J42" i="3"/>
  <c r="J46" i="3"/>
  <c r="J50" i="3"/>
  <c r="J54" i="3"/>
  <c r="J58" i="3"/>
  <c r="J62" i="3"/>
  <c r="J66" i="3"/>
  <c r="J70" i="3"/>
  <c r="J74" i="3"/>
  <c r="J78" i="3"/>
  <c r="J82" i="3"/>
  <c r="J86" i="3"/>
  <c r="J90" i="3"/>
  <c r="J94" i="3"/>
  <c r="J98" i="3"/>
  <c r="J102" i="3"/>
  <c r="J7" i="3"/>
  <c r="J11" i="3"/>
  <c r="J15" i="3"/>
  <c r="J19" i="3"/>
  <c r="J23" i="3"/>
  <c r="J27" i="3"/>
  <c r="J31" i="3"/>
  <c r="J35" i="3"/>
  <c r="J39" i="3"/>
  <c r="J43" i="3"/>
  <c r="J47" i="3"/>
  <c r="J51" i="3"/>
  <c r="J55" i="3"/>
  <c r="J59" i="3"/>
  <c r="J63" i="3"/>
  <c r="J67" i="3"/>
  <c r="J71" i="3"/>
  <c r="J75" i="3"/>
  <c r="J79" i="3"/>
  <c r="J83" i="3"/>
  <c r="J87" i="3"/>
  <c r="J93" i="3"/>
  <c r="J95" i="3"/>
  <c r="J99" i="3"/>
  <c r="J103" i="3"/>
  <c r="H4" i="3"/>
  <c r="H8" i="3"/>
  <c r="H12" i="3"/>
  <c r="H16" i="3"/>
  <c r="H20" i="3"/>
  <c r="H24" i="3"/>
  <c r="H28" i="3"/>
  <c r="H32" i="3"/>
  <c r="H36" i="3"/>
  <c r="H40" i="3"/>
  <c r="H44" i="3"/>
  <c r="H48" i="3"/>
  <c r="H52" i="3"/>
  <c r="H56" i="3"/>
  <c r="H60" i="3"/>
  <c r="H64" i="3"/>
  <c r="H68" i="3"/>
  <c r="H72" i="3"/>
  <c r="H76" i="3"/>
  <c r="H80" i="3"/>
  <c r="H84" i="3"/>
  <c r="H88" i="3"/>
  <c r="H91" i="3"/>
  <c r="H96" i="3"/>
  <c r="H100" i="3"/>
  <c r="H5" i="3"/>
  <c r="H9" i="3"/>
  <c r="H13" i="3"/>
  <c r="H17" i="3"/>
  <c r="H21" i="3"/>
  <c r="H25" i="3"/>
  <c r="H29" i="3"/>
  <c r="H33" i="3"/>
  <c r="H37" i="3"/>
  <c r="H41" i="3"/>
  <c r="H45" i="3"/>
  <c r="H49" i="3"/>
  <c r="H53" i="3"/>
  <c r="H57" i="3"/>
  <c r="H61" i="3"/>
  <c r="H65" i="3"/>
  <c r="H69" i="3"/>
  <c r="H73" i="3"/>
  <c r="H77" i="3"/>
  <c r="H81" i="3"/>
  <c r="H85" i="3"/>
  <c r="H89" i="3"/>
  <c r="H92" i="3"/>
  <c r="H97" i="3"/>
  <c r="H101" i="3"/>
  <c r="H6" i="3"/>
  <c r="H10" i="3"/>
  <c r="H14" i="3"/>
  <c r="H18" i="3"/>
  <c r="H22" i="3"/>
  <c r="H26" i="3"/>
  <c r="H30" i="3"/>
  <c r="H34" i="3"/>
  <c r="H38" i="3"/>
  <c r="H42" i="3"/>
  <c r="H46" i="3"/>
  <c r="H50" i="3"/>
  <c r="H54" i="3"/>
  <c r="H58" i="3"/>
  <c r="H62" i="3"/>
  <c r="H66" i="3"/>
  <c r="H70" i="3"/>
  <c r="H74" i="3"/>
  <c r="H78" i="3"/>
  <c r="H82" i="3"/>
  <c r="H86" i="3"/>
  <c r="H90" i="3"/>
  <c r="H94" i="3"/>
  <c r="H98" i="3"/>
  <c r="H102" i="3"/>
  <c r="H7" i="3"/>
  <c r="H11" i="3"/>
  <c r="H15" i="3"/>
  <c r="H19" i="3"/>
  <c r="H23" i="3"/>
  <c r="H27" i="3"/>
  <c r="H31" i="3"/>
  <c r="H35" i="3"/>
  <c r="H39" i="3"/>
  <c r="H43" i="3"/>
  <c r="H47" i="3"/>
  <c r="H51" i="3"/>
  <c r="H55" i="3"/>
  <c r="H59" i="3"/>
  <c r="H63" i="3"/>
  <c r="H67" i="3"/>
  <c r="H71" i="3"/>
  <c r="H75" i="3"/>
  <c r="H79" i="3"/>
  <c r="H83" i="3"/>
  <c r="H87" i="3"/>
  <c r="H93" i="3"/>
  <c r="H95" i="3"/>
  <c r="H99" i="3"/>
  <c r="H103" i="3"/>
  <c r="G4" i="3"/>
  <c r="G8" i="3"/>
  <c r="G12" i="3"/>
  <c r="G16" i="3"/>
  <c r="G20" i="3"/>
  <c r="G24" i="3"/>
  <c r="G28" i="3"/>
  <c r="G32" i="3"/>
  <c r="G36" i="3"/>
  <c r="G40" i="3"/>
  <c r="G44" i="3"/>
  <c r="G48" i="3"/>
  <c r="G52" i="3"/>
  <c r="G56" i="3"/>
  <c r="G60" i="3"/>
  <c r="G64" i="3"/>
  <c r="G68" i="3"/>
  <c r="G72" i="3"/>
  <c r="G76" i="3"/>
  <c r="G80" i="3"/>
  <c r="G84" i="3"/>
  <c r="G88" i="3"/>
  <c r="G91" i="3"/>
  <c r="G96" i="3"/>
  <c r="G100" i="3"/>
  <c r="G5" i="3"/>
  <c r="G9" i="3"/>
  <c r="G13" i="3"/>
  <c r="G17" i="3"/>
  <c r="G21" i="3"/>
  <c r="G25" i="3"/>
  <c r="G29" i="3"/>
  <c r="G33" i="3"/>
  <c r="G37" i="3"/>
  <c r="G41" i="3"/>
  <c r="G45" i="3"/>
  <c r="G49" i="3"/>
  <c r="G53" i="3"/>
  <c r="G57" i="3"/>
  <c r="G61" i="3"/>
  <c r="G65" i="3"/>
  <c r="G69" i="3"/>
  <c r="G73" i="3"/>
  <c r="G77" i="3"/>
  <c r="G81" i="3"/>
  <c r="G85" i="3"/>
  <c r="G89" i="3"/>
  <c r="G92" i="3"/>
  <c r="G97" i="3"/>
  <c r="G101" i="3"/>
  <c r="G6" i="3"/>
  <c r="G10" i="3"/>
  <c r="G14" i="3"/>
  <c r="G18" i="3"/>
  <c r="G22" i="3"/>
  <c r="G26" i="3"/>
  <c r="G30" i="3"/>
  <c r="G34" i="3"/>
  <c r="G38" i="3"/>
  <c r="G42" i="3"/>
  <c r="G46" i="3"/>
  <c r="G50" i="3"/>
  <c r="G54" i="3"/>
  <c r="G58" i="3"/>
  <c r="G62" i="3"/>
  <c r="G66" i="3"/>
  <c r="G70" i="3"/>
  <c r="G74" i="3"/>
  <c r="G78" i="3"/>
  <c r="G82" i="3"/>
  <c r="G86" i="3"/>
  <c r="G90" i="3"/>
  <c r="G94" i="3"/>
  <c r="G98" i="3"/>
  <c r="G102" i="3"/>
  <c r="G7" i="3"/>
  <c r="G11" i="3"/>
  <c r="G15" i="3"/>
  <c r="G19" i="3"/>
  <c r="G23" i="3"/>
  <c r="G27" i="3"/>
  <c r="G31" i="3"/>
  <c r="G35" i="3"/>
  <c r="G39" i="3"/>
  <c r="G43" i="3"/>
  <c r="G47" i="3"/>
  <c r="G51" i="3"/>
  <c r="G55" i="3"/>
  <c r="G59" i="3"/>
  <c r="G63" i="3"/>
  <c r="G67" i="3"/>
  <c r="G71" i="3"/>
  <c r="G75" i="3"/>
  <c r="G79" i="3"/>
  <c r="G83" i="3"/>
  <c r="G87" i="3"/>
  <c r="G93" i="3"/>
  <c r="G95" i="3"/>
  <c r="G99" i="3"/>
  <c r="G103" i="3"/>
  <c r="C4" i="3"/>
  <c r="C8" i="3"/>
  <c r="C12" i="3"/>
  <c r="C16" i="3"/>
  <c r="C20" i="3"/>
  <c r="C24" i="3"/>
  <c r="E24" i="3" s="1"/>
  <c r="I24" i="3" s="1"/>
  <c r="C28" i="3"/>
  <c r="C32" i="3"/>
  <c r="C36" i="3"/>
  <c r="C40" i="3"/>
  <c r="E40" i="3" s="1"/>
  <c r="I40" i="3" s="1"/>
  <c r="C44" i="3"/>
  <c r="C48" i="3"/>
  <c r="C52" i="3"/>
  <c r="C56" i="3"/>
  <c r="E56" i="3" s="1"/>
  <c r="I56" i="3" s="1"/>
  <c r="C60" i="3"/>
  <c r="C64" i="3"/>
  <c r="C68" i="3"/>
  <c r="C72" i="3"/>
  <c r="C76" i="3"/>
  <c r="C80" i="3"/>
  <c r="C84" i="3"/>
  <c r="C88" i="3"/>
  <c r="E88" i="3" s="1"/>
  <c r="I88" i="3" s="1"/>
  <c r="C91" i="3"/>
  <c r="C96" i="3"/>
  <c r="C100" i="3"/>
  <c r="C5" i="3"/>
  <c r="C9" i="3"/>
  <c r="C13" i="3"/>
  <c r="C17" i="3"/>
  <c r="C21" i="3"/>
  <c r="E21" i="3" s="1"/>
  <c r="I21" i="3" s="1"/>
  <c r="C25" i="3"/>
  <c r="C29" i="3"/>
  <c r="C33" i="3"/>
  <c r="C37" i="3"/>
  <c r="C41" i="3"/>
  <c r="C45" i="3"/>
  <c r="D45" i="3" s="1"/>
  <c r="C49" i="3"/>
  <c r="C53" i="3"/>
  <c r="E53" i="3" s="1"/>
  <c r="I53" i="3" s="1"/>
  <c r="C57" i="3"/>
  <c r="D57" i="3" s="1"/>
  <c r="C61" i="3"/>
  <c r="D61" i="3" s="1"/>
  <c r="C65" i="3"/>
  <c r="C69" i="3"/>
  <c r="C73" i="3"/>
  <c r="C77" i="3"/>
  <c r="C81" i="3"/>
  <c r="C85" i="3"/>
  <c r="E85" i="3" s="1"/>
  <c r="I85" i="3" s="1"/>
  <c r="C89" i="3"/>
  <c r="D89" i="3" s="1"/>
  <c r="C92" i="3"/>
  <c r="C97" i="3"/>
  <c r="C101" i="3"/>
  <c r="E101" i="3" s="1"/>
  <c r="I101" i="3" s="1"/>
  <c r="C6" i="3"/>
  <c r="C10" i="3"/>
  <c r="D10" i="3" s="1"/>
  <c r="C14" i="3"/>
  <c r="C18" i="3"/>
  <c r="E18" i="3" s="1"/>
  <c r="C22" i="3"/>
  <c r="D22" i="3" s="1"/>
  <c r="C26" i="3"/>
  <c r="D26" i="3" s="1"/>
  <c r="C30" i="3"/>
  <c r="C34" i="3"/>
  <c r="E34" i="3" s="1"/>
  <c r="I34" i="3" s="1"/>
  <c r="C38" i="3"/>
  <c r="C42" i="3"/>
  <c r="C46" i="3"/>
  <c r="C50" i="3"/>
  <c r="E50" i="3" s="1"/>
  <c r="I50" i="3" s="1"/>
  <c r="C54" i="3"/>
  <c r="D54" i="3" s="1"/>
  <c r="C58" i="3"/>
  <c r="C62" i="3"/>
  <c r="D62" i="3" s="1"/>
  <c r="C66" i="3"/>
  <c r="C70" i="3"/>
  <c r="C74" i="3"/>
  <c r="C78" i="3"/>
  <c r="C82" i="3"/>
  <c r="E82" i="3" s="1"/>
  <c r="I82" i="3" s="1"/>
  <c r="C86" i="3"/>
  <c r="D86" i="3" s="1"/>
  <c r="C90" i="3"/>
  <c r="D90" i="3" s="1"/>
  <c r="C94" i="3"/>
  <c r="D94" i="3" s="1"/>
  <c r="C98" i="3"/>
  <c r="E98" i="3" s="1"/>
  <c r="I98" i="3" s="1"/>
  <c r="C102" i="3"/>
  <c r="C7" i="3"/>
  <c r="D7" i="3" s="1"/>
  <c r="C11" i="3"/>
  <c r="C15" i="3"/>
  <c r="E15" i="3" s="1"/>
  <c r="I15" i="3" s="1"/>
  <c r="C19" i="3"/>
  <c r="D19" i="3" s="1"/>
  <c r="C23" i="3"/>
  <c r="D23" i="3" s="1"/>
  <c r="C27" i="3"/>
  <c r="D27" i="3" s="1"/>
  <c r="C31" i="3"/>
  <c r="C35" i="3"/>
  <c r="C39" i="3"/>
  <c r="C43" i="3"/>
  <c r="C47" i="3"/>
  <c r="E47" i="3" s="1"/>
  <c r="I47" i="3" s="1"/>
  <c r="C51" i="3"/>
  <c r="D51" i="3" s="1"/>
  <c r="C55" i="3"/>
  <c r="C59" i="3"/>
  <c r="C63" i="3"/>
  <c r="C67" i="3"/>
  <c r="C71" i="3"/>
  <c r="C75" i="3"/>
  <c r="C79" i="3"/>
  <c r="E79" i="3" s="1"/>
  <c r="I79" i="3" s="1"/>
  <c r="C83" i="3"/>
  <c r="D83" i="3" s="1"/>
  <c r="C87" i="3"/>
  <c r="C93" i="3"/>
  <c r="D93" i="3" s="1"/>
  <c r="C95" i="3"/>
  <c r="C99" i="3"/>
  <c r="C103" i="3"/>
  <c r="B4" i="3"/>
  <c r="B8" i="3"/>
  <c r="B12" i="3"/>
  <c r="B16" i="3"/>
  <c r="B20" i="3"/>
  <c r="B24" i="3"/>
  <c r="B28" i="3"/>
  <c r="B32" i="3"/>
  <c r="B36" i="3"/>
  <c r="B40" i="3"/>
  <c r="B44" i="3"/>
  <c r="B48" i="3"/>
  <c r="B52" i="3"/>
  <c r="B56" i="3"/>
  <c r="B60" i="3"/>
  <c r="B64" i="3"/>
  <c r="B68" i="3"/>
  <c r="B72" i="3"/>
  <c r="B76" i="3"/>
  <c r="B80" i="3"/>
  <c r="B84" i="3"/>
  <c r="B88" i="3"/>
  <c r="B91" i="3"/>
  <c r="B96" i="3"/>
  <c r="B100" i="3"/>
  <c r="B5" i="3"/>
  <c r="B9" i="3"/>
  <c r="B13" i="3"/>
  <c r="B17" i="3"/>
  <c r="B21" i="3"/>
  <c r="B25" i="3"/>
  <c r="B29" i="3"/>
  <c r="B33" i="3"/>
  <c r="B37" i="3"/>
  <c r="B41" i="3"/>
  <c r="B45" i="3"/>
  <c r="B49" i="3"/>
  <c r="B53" i="3"/>
  <c r="B57" i="3"/>
  <c r="B61" i="3"/>
  <c r="B65" i="3"/>
  <c r="B69" i="3"/>
  <c r="B73" i="3"/>
  <c r="B77" i="3"/>
  <c r="B81" i="3"/>
  <c r="B85" i="3"/>
  <c r="B89" i="3"/>
  <c r="B92" i="3"/>
  <c r="B97" i="3"/>
  <c r="B101" i="3"/>
  <c r="B6" i="3"/>
  <c r="B10" i="3"/>
  <c r="B14" i="3"/>
  <c r="B18" i="3"/>
  <c r="B22" i="3"/>
  <c r="B26" i="3"/>
  <c r="B30" i="3"/>
  <c r="B34" i="3"/>
  <c r="B38" i="3"/>
  <c r="B42" i="3"/>
  <c r="B46" i="3"/>
  <c r="B50" i="3"/>
  <c r="B54" i="3"/>
  <c r="B58" i="3"/>
  <c r="B62" i="3"/>
  <c r="B66" i="3"/>
  <c r="B70" i="3"/>
  <c r="B74" i="3"/>
  <c r="B78" i="3"/>
  <c r="B82" i="3"/>
  <c r="B86" i="3"/>
  <c r="B90" i="3"/>
  <c r="B94" i="3"/>
  <c r="B98" i="3"/>
  <c r="B102" i="3"/>
  <c r="B7" i="3"/>
  <c r="B11" i="3"/>
  <c r="B15" i="3"/>
  <c r="B19" i="3"/>
  <c r="B23" i="3"/>
  <c r="B27" i="3"/>
  <c r="B31" i="3"/>
  <c r="B35" i="3"/>
  <c r="B39" i="3"/>
  <c r="B43" i="3"/>
  <c r="B47" i="3"/>
  <c r="B51" i="3"/>
  <c r="B55" i="3"/>
  <c r="B59" i="3"/>
  <c r="B63" i="3"/>
  <c r="B67" i="3"/>
  <c r="B71" i="3"/>
  <c r="B75" i="3"/>
  <c r="B79" i="3"/>
  <c r="B83" i="3"/>
  <c r="B87" i="3"/>
  <c r="B93" i="3"/>
  <c r="B95" i="3"/>
  <c r="B99" i="3"/>
  <c r="B103" i="3"/>
  <c r="F21" i="3" l="1"/>
  <c r="D24" i="3"/>
  <c r="F88" i="3"/>
  <c r="D85" i="3"/>
  <c r="F56" i="3"/>
  <c r="D53" i="3"/>
  <c r="F24" i="3"/>
  <c r="F50" i="3"/>
  <c r="D21" i="3"/>
  <c r="F18" i="3"/>
  <c r="D50" i="3"/>
  <c r="D88" i="3"/>
  <c r="F85" i="3"/>
  <c r="D18" i="3"/>
  <c r="D56" i="3"/>
  <c r="F53" i="3"/>
  <c r="E103" i="3"/>
  <c r="I103" i="3" s="1"/>
  <c r="F103" i="3"/>
  <c r="E71" i="3"/>
  <c r="I71" i="3" s="1"/>
  <c r="K71" i="3" s="1"/>
  <c r="F71" i="3"/>
  <c r="E39" i="3"/>
  <c r="I39" i="3" s="1"/>
  <c r="K39" i="3" s="1"/>
  <c r="F39" i="3"/>
  <c r="E7" i="3"/>
  <c r="I7" i="3" s="1"/>
  <c r="K7" i="3" s="1"/>
  <c r="F7" i="3"/>
  <c r="E74" i="3"/>
  <c r="I74" i="3" s="1"/>
  <c r="K74" i="3" s="1"/>
  <c r="F74" i="3"/>
  <c r="E42" i="3"/>
  <c r="I42" i="3" s="1"/>
  <c r="F42" i="3"/>
  <c r="E10" i="3"/>
  <c r="I10" i="3" s="1"/>
  <c r="F10" i="3"/>
  <c r="E77" i="3"/>
  <c r="I77" i="3" s="1"/>
  <c r="K77" i="3" s="1"/>
  <c r="F77" i="3"/>
  <c r="E45" i="3"/>
  <c r="I45" i="3" s="1"/>
  <c r="F45" i="3"/>
  <c r="E13" i="3"/>
  <c r="I13" i="3" s="1"/>
  <c r="F13" i="3"/>
  <c r="D13" i="3"/>
  <c r="E80" i="3"/>
  <c r="I80" i="3" s="1"/>
  <c r="K80" i="3" s="1"/>
  <c r="F80" i="3"/>
  <c r="D80" i="3"/>
  <c r="E48" i="3"/>
  <c r="I48" i="3" s="1"/>
  <c r="F48" i="3"/>
  <c r="D48" i="3"/>
  <c r="E16" i="3"/>
  <c r="I16" i="3" s="1"/>
  <c r="K16" i="3" s="1"/>
  <c r="F16" i="3"/>
  <c r="D16" i="3"/>
  <c r="D39" i="3"/>
  <c r="F79" i="3"/>
  <c r="E99" i="3"/>
  <c r="I99" i="3" s="1"/>
  <c r="K99" i="3" s="1"/>
  <c r="F99" i="3"/>
  <c r="E67" i="3"/>
  <c r="I67" i="3" s="1"/>
  <c r="F67" i="3"/>
  <c r="E35" i="3"/>
  <c r="I35" i="3" s="1"/>
  <c r="K35" i="3" s="1"/>
  <c r="F35" i="3"/>
  <c r="E102" i="3"/>
  <c r="I102" i="3" s="1"/>
  <c r="K102" i="3" s="1"/>
  <c r="F102" i="3"/>
  <c r="E70" i="3"/>
  <c r="I70" i="3" s="1"/>
  <c r="F70" i="3"/>
  <c r="E38" i="3"/>
  <c r="I38" i="3" s="1"/>
  <c r="F38" i="3"/>
  <c r="D38" i="3"/>
  <c r="E6" i="3"/>
  <c r="I6" i="3" s="1"/>
  <c r="K6" i="3" s="1"/>
  <c r="F6" i="3"/>
  <c r="D6" i="3"/>
  <c r="E73" i="3"/>
  <c r="I73" i="3" s="1"/>
  <c r="F73" i="3"/>
  <c r="D73" i="3"/>
  <c r="E41" i="3"/>
  <c r="I41" i="3" s="1"/>
  <c r="K41" i="3" s="1"/>
  <c r="F41" i="3"/>
  <c r="D41" i="3"/>
  <c r="E9" i="3"/>
  <c r="I9" i="3" s="1"/>
  <c r="K9" i="3" s="1"/>
  <c r="F9" i="3"/>
  <c r="D9" i="3"/>
  <c r="E76" i="3"/>
  <c r="I76" i="3" s="1"/>
  <c r="F76" i="3"/>
  <c r="D76" i="3"/>
  <c r="E44" i="3"/>
  <c r="I44" i="3" s="1"/>
  <c r="K44" i="3" s="1"/>
  <c r="F44" i="3"/>
  <c r="D44" i="3"/>
  <c r="E12" i="3"/>
  <c r="I12" i="3" s="1"/>
  <c r="K12" i="3" s="1"/>
  <c r="F12" i="3"/>
  <c r="D12" i="3"/>
  <c r="D79" i="3"/>
  <c r="D35" i="3"/>
  <c r="F47" i="3"/>
  <c r="F95" i="3"/>
  <c r="D95" i="3"/>
  <c r="F63" i="3"/>
  <c r="D63" i="3"/>
  <c r="F31" i="3"/>
  <c r="D31" i="3"/>
  <c r="F98" i="3"/>
  <c r="D98" i="3"/>
  <c r="F66" i="3"/>
  <c r="D66" i="3"/>
  <c r="F34" i="3"/>
  <c r="D34" i="3"/>
  <c r="F101" i="3"/>
  <c r="D101" i="3"/>
  <c r="F69" i="3"/>
  <c r="D69" i="3"/>
  <c r="F37" i="3"/>
  <c r="D37" i="3"/>
  <c r="F5" i="3"/>
  <c r="D5" i="3"/>
  <c r="F72" i="3"/>
  <c r="D72" i="3"/>
  <c r="F40" i="3"/>
  <c r="D40" i="3"/>
  <c r="F8" i="3"/>
  <c r="D8" i="3"/>
  <c r="D71" i="3"/>
  <c r="D42" i="3"/>
  <c r="D77" i="3"/>
  <c r="E69" i="3"/>
  <c r="I69" i="3" s="1"/>
  <c r="F15" i="3"/>
  <c r="K79" i="3"/>
  <c r="L79" i="3" s="1"/>
  <c r="M79" i="3" s="1"/>
  <c r="K47" i="3"/>
  <c r="L47" i="3" s="1"/>
  <c r="M47" i="3" s="1"/>
  <c r="K15" i="3"/>
  <c r="L15" i="3" s="1"/>
  <c r="M15" i="3" s="1"/>
  <c r="K82" i="3"/>
  <c r="L82" i="3" s="1"/>
  <c r="M82" i="3" s="1"/>
  <c r="K50" i="3"/>
  <c r="K85" i="3"/>
  <c r="L85" i="3" s="1"/>
  <c r="M85" i="3" s="1"/>
  <c r="K53" i="3"/>
  <c r="K21" i="3"/>
  <c r="L21" i="3" s="1"/>
  <c r="M21" i="3" s="1"/>
  <c r="K88" i="3"/>
  <c r="L88" i="3" s="1"/>
  <c r="M88" i="3" s="1"/>
  <c r="K56" i="3"/>
  <c r="L56" i="3" s="1"/>
  <c r="M56" i="3" s="1"/>
  <c r="K24" i="3"/>
  <c r="L24" i="3" s="1"/>
  <c r="M24" i="3" s="1"/>
  <c r="L53" i="3"/>
  <c r="M53" i="3" s="1"/>
  <c r="E93" i="3"/>
  <c r="I93" i="3" s="1"/>
  <c r="K93" i="3" s="1"/>
  <c r="F93" i="3"/>
  <c r="E59" i="3"/>
  <c r="I59" i="3" s="1"/>
  <c r="F59" i="3"/>
  <c r="E27" i="3"/>
  <c r="I27" i="3" s="1"/>
  <c r="F27" i="3"/>
  <c r="E94" i="3"/>
  <c r="I94" i="3" s="1"/>
  <c r="K94" i="3" s="1"/>
  <c r="F94" i="3"/>
  <c r="E62" i="3"/>
  <c r="I62" i="3" s="1"/>
  <c r="F62" i="3"/>
  <c r="E30" i="3"/>
  <c r="I30" i="3" s="1"/>
  <c r="F30" i="3"/>
  <c r="D30" i="3"/>
  <c r="E97" i="3"/>
  <c r="I97" i="3" s="1"/>
  <c r="K97" i="3" s="1"/>
  <c r="F97" i="3"/>
  <c r="D97" i="3"/>
  <c r="E65" i="3"/>
  <c r="I65" i="3" s="1"/>
  <c r="F65" i="3"/>
  <c r="D65" i="3"/>
  <c r="E33" i="3"/>
  <c r="I33" i="3" s="1"/>
  <c r="F33" i="3"/>
  <c r="D33" i="3"/>
  <c r="E100" i="3"/>
  <c r="I100" i="3" s="1"/>
  <c r="K100" i="3" s="1"/>
  <c r="F100" i="3"/>
  <c r="D100" i="3"/>
  <c r="E68" i="3"/>
  <c r="I68" i="3" s="1"/>
  <c r="K68" i="3" s="1"/>
  <c r="F68" i="3"/>
  <c r="D68" i="3"/>
  <c r="E36" i="3"/>
  <c r="I36" i="3" s="1"/>
  <c r="K36" i="3" s="1"/>
  <c r="F36" i="3"/>
  <c r="D36" i="3"/>
  <c r="E4" i="3"/>
  <c r="I4" i="3" s="1"/>
  <c r="K4" i="3" s="1"/>
  <c r="F4" i="3"/>
  <c r="D4" i="3"/>
  <c r="D67" i="3"/>
  <c r="D82" i="3"/>
  <c r="E95" i="3"/>
  <c r="I95" i="3" s="1"/>
  <c r="K95" i="3" s="1"/>
  <c r="E37" i="3"/>
  <c r="I37" i="3" s="1"/>
  <c r="K37" i="3" s="1"/>
  <c r="F82" i="3"/>
  <c r="F87" i="3"/>
  <c r="E87" i="3"/>
  <c r="I87" i="3" s="1"/>
  <c r="K87" i="3" s="1"/>
  <c r="F55" i="3"/>
  <c r="E55" i="3"/>
  <c r="I55" i="3" s="1"/>
  <c r="K55" i="3" s="1"/>
  <c r="F23" i="3"/>
  <c r="E23" i="3"/>
  <c r="I23" i="3" s="1"/>
  <c r="F90" i="3"/>
  <c r="E90" i="3"/>
  <c r="I90" i="3" s="1"/>
  <c r="F58" i="3"/>
  <c r="E58" i="3"/>
  <c r="I58" i="3" s="1"/>
  <c r="K58" i="3" s="1"/>
  <c r="F26" i="3"/>
  <c r="E26" i="3"/>
  <c r="I26" i="3" s="1"/>
  <c r="F92" i="3"/>
  <c r="E92" i="3"/>
  <c r="I92" i="3" s="1"/>
  <c r="F61" i="3"/>
  <c r="E61" i="3"/>
  <c r="I61" i="3" s="1"/>
  <c r="K61" i="3" s="1"/>
  <c r="F29" i="3"/>
  <c r="D29" i="3"/>
  <c r="E29" i="3"/>
  <c r="I29" i="3" s="1"/>
  <c r="K29" i="3" s="1"/>
  <c r="F96" i="3"/>
  <c r="D96" i="3"/>
  <c r="E96" i="3"/>
  <c r="I96" i="3" s="1"/>
  <c r="K96" i="3" s="1"/>
  <c r="F64" i="3"/>
  <c r="D64" i="3"/>
  <c r="E64" i="3"/>
  <c r="I64" i="3" s="1"/>
  <c r="F32" i="3"/>
  <c r="D32" i="3"/>
  <c r="E32" i="3"/>
  <c r="I32" i="3" s="1"/>
  <c r="D103" i="3"/>
  <c r="D59" i="3"/>
  <c r="D74" i="3"/>
  <c r="E63" i="3"/>
  <c r="I63" i="3" s="1"/>
  <c r="E5" i="3"/>
  <c r="I5" i="3" s="1"/>
  <c r="K5" i="3" s="1"/>
  <c r="K103" i="3"/>
  <c r="K42" i="3"/>
  <c r="K10" i="3"/>
  <c r="K45" i="3"/>
  <c r="K13" i="3"/>
  <c r="K48" i="3"/>
  <c r="I18" i="3"/>
  <c r="F83" i="3"/>
  <c r="E83" i="3"/>
  <c r="I83" i="3" s="1"/>
  <c r="K83" i="3" s="1"/>
  <c r="F51" i="3"/>
  <c r="E51" i="3"/>
  <c r="I51" i="3" s="1"/>
  <c r="K51" i="3" s="1"/>
  <c r="F19" i="3"/>
  <c r="E19" i="3"/>
  <c r="I19" i="3" s="1"/>
  <c r="K19" i="3" s="1"/>
  <c r="F86" i="3"/>
  <c r="E86" i="3"/>
  <c r="I86" i="3" s="1"/>
  <c r="F54" i="3"/>
  <c r="E54" i="3"/>
  <c r="I54" i="3" s="1"/>
  <c r="F22" i="3"/>
  <c r="E22" i="3"/>
  <c r="I22" i="3" s="1"/>
  <c r="F89" i="3"/>
  <c r="E89" i="3"/>
  <c r="I89" i="3" s="1"/>
  <c r="F57" i="3"/>
  <c r="E57" i="3"/>
  <c r="I57" i="3" s="1"/>
  <c r="K57" i="3" s="1"/>
  <c r="F25" i="3"/>
  <c r="D25" i="3"/>
  <c r="E25" i="3"/>
  <c r="I25" i="3" s="1"/>
  <c r="K25" i="3" s="1"/>
  <c r="F91" i="3"/>
  <c r="D91" i="3"/>
  <c r="E91" i="3"/>
  <c r="I91" i="3" s="1"/>
  <c r="F60" i="3"/>
  <c r="D60" i="3"/>
  <c r="E60" i="3"/>
  <c r="I60" i="3" s="1"/>
  <c r="K60" i="3" s="1"/>
  <c r="F28" i="3"/>
  <c r="D28" i="3"/>
  <c r="E28" i="3"/>
  <c r="I28" i="3" s="1"/>
  <c r="D99" i="3"/>
  <c r="D55" i="3"/>
  <c r="D15" i="3"/>
  <c r="D70" i="3"/>
  <c r="E31" i="3"/>
  <c r="I31" i="3" s="1"/>
  <c r="K31" i="3" s="1"/>
  <c r="E72" i="3"/>
  <c r="I72" i="3" s="1"/>
  <c r="K72" i="3" s="1"/>
  <c r="K67" i="3"/>
  <c r="K70" i="3"/>
  <c r="K38" i="3"/>
  <c r="K73" i="3"/>
  <c r="K76" i="3"/>
  <c r="K98" i="3"/>
  <c r="L98" i="3" s="1"/>
  <c r="M98" i="3" s="1"/>
  <c r="K34" i="3"/>
  <c r="L34" i="3" s="1"/>
  <c r="M34" i="3" s="1"/>
  <c r="K101" i="3"/>
  <c r="L101" i="3" s="1"/>
  <c r="M101" i="3" s="1"/>
  <c r="K69" i="3"/>
  <c r="K40" i="3"/>
  <c r="L40" i="3" s="1"/>
  <c r="M40" i="3" s="1"/>
  <c r="L50" i="3"/>
  <c r="M50" i="3" s="1"/>
  <c r="F75" i="3"/>
  <c r="D75" i="3"/>
  <c r="E75" i="3"/>
  <c r="I75" i="3" s="1"/>
  <c r="K75" i="3" s="1"/>
  <c r="F43" i="3"/>
  <c r="D43" i="3"/>
  <c r="E43" i="3"/>
  <c r="I43" i="3" s="1"/>
  <c r="K43" i="3" s="1"/>
  <c r="F11" i="3"/>
  <c r="D11" i="3"/>
  <c r="E11" i="3"/>
  <c r="I11" i="3" s="1"/>
  <c r="F78" i="3"/>
  <c r="D78" i="3"/>
  <c r="E78" i="3"/>
  <c r="I78" i="3" s="1"/>
  <c r="K78" i="3" s="1"/>
  <c r="F46" i="3"/>
  <c r="D46" i="3"/>
  <c r="E46" i="3"/>
  <c r="I46" i="3" s="1"/>
  <c r="K46" i="3" s="1"/>
  <c r="F14" i="3"/>
  <c r="D14" i="3"/>
  <c r="E14" i="3"/>
  <c r="I14" i="3" s="1"/>
  <c r="F81" i="3"/>
  <c r="D81" i="3"/>
  <c r="E81" i="3"/>
  <c r="I81" i="3" s="1"/>
  <c r="F49" i="3"/>
  <c r="D49" i="3"/>
  <c r="E49" i="3"/>
  <c r="I49" i="3" s="1"/>
  <c r="F17" i="3"/>
  <c r="D17" i="3"/>
  <c r="E17" i="3"/>
  <c r="I17" i="3" s="1"/>
  <c r="K17" i="3" s="1"/>
  <c r="F84" i="3"/>
  <c r="D84" i="3"/>
  <c r="E84" i="3"/>
  <c r="I84" i="3" s="1"/>
  <c r="K84" i="3" s="1"/>
  <c r="F52" i="3"/>
  <c r="D52" i="3"/>
  <c r="E52" i="3"/>
  <c r="I52" i="3" s="1"/>
  <c r="F20" i="3"/>
  <c r="D20" i="3"/>
  <c r="E20" i="3"/>
  <c r="I20" i="3" s="1"/>
  <c r="K20" i="3" s="1"/>
  <c r="D87" i="3"/>
  <c r="D47" i="3"/>
  <c r="D102" i="3"/>
  <c r="D58" i="3"/>
  <c r="D92" i="3"/>
  <c r="E66" i="3"/>
  <c r="I66" i="3" s="1"/>
  <c r="K66" i="3" s="1"/>
  <c r="E8" i="3"/>
  <c r="I8" i="3" s="1"/>
  <c r="K8" i="3" s="1"/>
  <c r="K59" i="3"/>
  <c r="K27" i="3"/>
  <c r="K62" i="3"/>
  <c r="K30" i="3"/>
  <c r="K65" i="3"/>
  <c r="L19" i="3" l="1"/>
  <c r="M19" i="3" s="1"/>
  <c r="L30" i="3"/>
  <c r="M30" i="3" s="1"/>
  <c r="L59" i="3"/>
  <c r="M59" i="3" s="1"/>
  <c r="K91" i="3"/>
  <c r="L91" i="3" s="1"/>
  <c r="M91" i="3" s="1"/>
  <c r="L9" i="3"/>
  <c r="M9" i="3" s="1"/>
  <c r="L102" i="3"/>
  <c r="M102" i="3" s="1"/>
  <c r="L13" i="3"/>
  <c r="M13" i="3" s="1"/>
  <c r="L42" i="3"/>
  <c r="M42" i="3" s="1"/>
  <c r="L71" i="3"/>
  <c r="M71" i="3" s="1"/>
  <c r="L96" i="3"/>
  <c r="M96" i="3" s="1"/>
  <c r="K52" i="3"/>
  <c r="L52" i="3" s="1"/>
  <c r="M52" i="3" s="1"/>
  <c r="K11" i="3"/>
  <c r="L11" i="3" s="1"/>
  <c r="M11" i="3" s="1"/>
  <c r="L68" i="3"/>
  <c r="M68" i="3" s="1"/>
  <c r="L6" i="3"/>
  <c r="M6" i="3" s="1"/>
  <c r="L61" i="3"/>
  <c r="M61" i="3" s="1"/>
  <c r="L46" i="3"/>
  <c r="M46" i="3" s="1"/>
  <c r="L51" i="3"/>
  <c r="M51" i="3" s="1"/>
  <c r="L65" i="3"/>
  <c r="M65" i="3" s="1"/>
  <c r="L62" i="3"/>
  <c r="M62" i="3"/>
  <c r="L93" i="3"/>
  <c r="M93" i="3" s="1"/>
  <c r="L44" i="3"/>
  <c r="M44" i="3" s="1"/>
  <c r="L35" i="3"/>
  <c r="M35" i="3" s="1"/>
  <c r="K92" i="3"/>
  <c r="L92" i="3" s="1"/>
  <c r="M92" i="3" s="1"/>
  <c r="L48" i="3"/>
  <c r="M48" i="3" s="1"/>
  <c r="L45" i="3"/>
  <c r="M45" i="3" s="1"/>
  <c r="L74" i="3"/>
  <c r="M74" i="3" s="1"/>
  <c r="L103" i="3"/>
  <c r="M103" i="3" s="1"/>
  <c r="L16" i="3"/>
  <c r="M16" i="3" s="1"/>
  <c r="L84" i="3"/>
  <c r="M84" i="3" s="1"/>
  <c r="L43" i="3"/>
  <c r="M43" i="3" s="1"/>
  <c r="L25" i="3"/>
  <c r="M25" i="3" s="1"/>
  <c r="L55" i="3"/>
  <c r="M55" i="3" s="1"/>
  <c r="L4" i="3"/>
  <c r="M4" i="3" s="1"/>
  <c r="K89" i="3"/>
  <c r="L89" i="3" s="1"/>
  <c r="M89" i="3" s="1"/>
  <c r="L41" i="3"/>
  <c r="M41" i="3" s="1"/>
  <c r="K26" i="3"/>
  <c r="L26" i="3" s="1"/>
  <c r="M26" i="3" s="1"/>
  <c r="L66" i="3"/>
  <c r="M66" i="3" s="1"/>
  <c r="L72" i="3"/>
  <c r="M72" i="3" s="1"/>
  <c r="L83" i="3"/>
  <c r="M83" i="3" s="1"/>
  <c r="L29" i="3"/>
  <c r="M29" i="3" s="1"/>
  <c r="K49" i="3"/>
  <c r="L49" i="3" s="1"/>
  <c r="M49" i="3" s="1"/>
  <c r="L100" i="3"/>
  <c r="M100" i="3" s="1"/>
  <c r="L94" i="3"/>
  <c r="M94" i="3" s="1"/>
  <c r="L69" i="3"/>
  <c r="M69" i="3" s="1"/>
  <c r="K22" i="3"/>
  <c r="L22" i="3" s="1"/>
  <c r="M22" i="3" s="1"/>
  <c r="L38" i="3"/>
  <c r="M38" i="3" s="1"/>
  <c r="L67" i="3"/>
  <c r="M67" i="3" s="1"/>
  <c r="L77" i="3"/>
  <c r="M77" i="3" s="1"/>
  <c r="L7" i="3"/>
  <c r="M7" i="3" s="1"/>
  <c r="L12" i="3"/>
  <c r="M12" i="3" s="1"/>
  <c r="K33" i="3"/>
  <c r="L33" i="3" s="1"/>
  <c r="M33" i="3" s="1"/>
  <c r="L20" i="3"/>
  <c r="M20" i="3" s="1"/>
  <c r="L78" i="3"/>
  <c r="M78" i="3" s="1"/>
  <c r="K63" i="3"/>
  <c r="L63" i="3" s="1"/>
  <c r="M63" i="3" s="1"/>
  <c r="L31" i="3"/>
  <c r="M31" i="3" s="1"/>
  <c r="L60" i="3"/>
  <c r="M60" i="3" s="1"/>
  <c r="L58" i="3"/>
  <c r="M58" i="3" s="1"/>
  <c r="L87" i="3"/>
  <c r="M87" i="3" s="1"/>
  <c r="K81" i="3"/>
  <c r="L81" i="3" s="1"/>
  <c r="M81" i="3" s="1"/>
  <c r="L37" i="3"/>
  <c r="M37" i="3" s="1"/>
  <c r="L97" i="3"/>
  <c r="M97" i="3" s="1"/>
  <c r="K18" i="3"/>
  <c r="L18" i="3" s="1"/>
  <c r="M18" i="3" s="1"/>
  <c r="K54" i="3"/>
  <c r="L54" i="3" s="1"/>
  <c r="M54" i="3" s="1"/>
  <c r="L76" i="3"/>
  <c r="M76" i="3" s="1"/>
  <c r="K32" i="3"/>
  <c r="L32" i="3" s="1"/>
  <c r="M32" i="3" s="1"/>
  <c r="K90" i="3"/>
  <c r="L90" i="3" s="1"/>
  <c r="M90" i="3" s="1"/>
  <c r="L80" i="3"/>
  <c r="M80" i="3" s="1"/>
  <c r="L8" i="3"/>
  <c r="M8" i="3" s="1"/>
  <c r="L17" i="3"/>
  <c r="M17" i="3" s="1"/>
  <c r="L75" i="3"/>
  <c r="M75" i="3" s="1"/>
  <c r="L57" i="3"/>
  <c r="M57" i="3" s="1"/>
  <c r="L5" i="3"/>
  <c r="M5" i="3" s="1"/>
  <c r="K14" i="3"/>
  <c r="L14" i="3" s="1"/>
  <c r="M14" i="3" s="1"/>
  <c r="L95" i="3"/>
  <c r="M95" i="3" s="1"/>
  <c r="L36" i="3"/>
  <c r="M36" i="3" s="1"/>
  <c r="L27" i="3"/>
  <c r="M27" i="3" s="1"/>
  <c r="K28" i="3"/>
  <c r="L28" i="3" s="1"/>
  <c r="M28" i="3" s="1"/>
  <c r="K86" i="3"/>
  <c r="L86" i="3" s="1"/>
  <c r="M86" i="3" s="1"/>
  <c r="L73" i="3"/>
  <c r="M73" i="3" s="1"/>
  <c r="L70" i="3"/>
  <c r="M70" i="3" s="1"/>
  <c r="L99" i="3"/>
  <c r="M99" i="3" s="1"/>
  <c r="K64" i="3"/>
  <c r="L64" i="3" s="1"/>
  <c r="M64" i="3" s="1"/>
  <c r="K23" i="3"/>
  <c r="L23" i="3" s="1"/>
  <c r="M23" i="3" s="1"/>
  <c r="L10" i="3"/>
  <c r="M10" i="3" s="1"/>
  <c r="L39" i="3"/>
  <c r="M39" i="3" s="1"/>
</calcChain>
</file>

<file path=xl/sharedStrings.xml><?xml version="1.0" encoding="utf-8"?>
<sst xmlns="http://schemas.openxmlformats.org/spreadsheetml/2006/main" count="690" uniqueCount="179">
  <si>
    <t>ID</t>
  </si>
  <si>
    <t>Nama Kasir</t>
  </si>
  <si>
    <t>Kode Produk</t>
  </si>
  <si>
    <t>Tanggal Beli</t>
  </si>
  <si>
    <t>Qty</t>
  </si>
  <si>
    <t>Member</t>
  </si>
  <si>
    <t>TRX-001</t>
  </si>
  <si>
    <t>budi santoso</t>
  </si>
  <si>
    <t>P-01</t>
  </si>
  <si>
    <t>Ya</t>
  </si>
  <si>
    <t>TRX-002</t>
  </si>
  <si>
    <t>SITI AMINAH</t>
  </si>
  <si>
    <t>P-02</t>
  </si>
  <si>
    <t>Tidak</t>
  </si>
  <si>
    <t>TRX-003</t>
  </si>
  <si>
    <t>andi wijaya</t>
  </si>
  <si>
    <t>P-03</t>
  </si>
  <si>
    <t>TRX-004</t>
  </si>
  <si>
    <t>dewi lestari</t>
  </si>
  <si>
    <t>TRX-005</t>
  </si>
  <si>
    <t>Eko Prasetyo</t>
  </si>
  <si>
    <t>P-04</t>
  </si>
  <si>
    <t>TRX-006</t>
  </si>
  <si>
    <t>Rina mr</t>
  </si>
  <si>
    <t>P-05</t>
  </si>
  <si>
    <t>TRX-007</t>
  </si>
  <si>
    <t>AGUS SUPRIYADI</t>
  </si>
  <si>
    <t>TRX-008</t>
  </si>
  <si>
    <t>nina herlina</t>
  </si>
  <si>
    <t>TRX-009</t>
  </si>
  <si>
    <t>Doni Salmanan</t>
  </si>
  <si>
    <t>TRX-010</t>
  </si>
  <si>
    <t>Fajar Nugraha</t>
  </si>
  <si>
    <t>TRX-011</t>
  </si>
  <si>
    <t>GINA sonia</t>
  </si>
  <si>
    <t>TRX-012</t>
  </si>
  <si>
    <t>Hendra Gunawan</t>
  </si>
  <si>
    <t>TRX-013</t>
  </si>
  <si>
    <t>INDRA BEKTI</t>
  </si>
  <si>
    <t>TRX-014</t>
  </si>
  <si>
    <t>joko widodo</t>
  </si>
  <si>
    <t>TRX-015</t>
  </si>
  <si>
    <t>Kiki Amalia</t>
  </si>
  <si>
    <t>TRX-016</t>
  </si>
  <si>
    <t>LINA MARLINA</t>
  </si>
  <si>
    <t>TRX-017</t>
  </si>
  <si>
    <t>maman abdurrahman</t>
  </si>
  <si>
    <t>TRX-018</t>
  </si>
  <si>
    <t>Nanda Saputra</t>
  </si>
  <si>
    <t>TRX-019</t>
  </si>
  <si>
    <t>Oki Setiana</t>
  </si>
  <si>
    <t>TRX-020</t>
  </si>
  <si>
    <t>PUTRI TITIAN</t>
  </si>
  <si>
    <t>TRX-021</t>
  </si>
  <si>
    <t>qory sandioriva</t>
  </si>
  <si>
    <t>TRX-022</t>
  </si>
  <si>
    <t>reza rahardian</t>
  </si>
  <si>
    <t>TRX-023</t>
  </si>
  <si>
    <t>SISCA SOEWITOMO</t>
  </si>
  <si>
    <t>TRX-024</t>
  </si>
  <si>
    <t>Tora Sudiro</t>
  </si>
  <si>
    <t>TRX-025</t>
  </si>
  <si>
    <t>umay shahab</t>
  </si>
  <si>
    <t>TRX-026</t>
  </si>
  <si>
    <t>TRX-027</t>
  </si>
  <si>
    <t>TRX-028</t>
  </si>
  <si>
    <t>TRX-029</t>
  </si>
  <si>
    <t>TRX-030</t>
  </si>
  <si>
    <t>TRX-031</t>
  </si>
  <si>
    <t>TRX-032</t>
  </si>
  <si>
    <t>TRX-033</t>
  </si>
  <si>
    <t>TRX-034</t>
  </si>
  <si>
    <t>TRX-035</t>
  </si>
  <si>
    <t>TRX-036</t>
  </si>
  <si>
    <t>TRX-037</t>
  </si>
  <si>
    <t>TRX-038</t>
  </si>
  <si>
    <t>TRX-039</t>
  </si>
  <si>
    <t>TRX-040</t>
  </si>
  <si>
    <t>TRX-041</t>
  </si>
  <si>
    <t>TRX-042</t>
  </si>
  <si>
    <t>TRX-043</t>
  </si>
  <si>
    <t>TRX-044</t>
  </si>
  <si>
    <t>TRX-045</t>
  </si>
  <si>
    <t>TRX-046</t>
  </si>
  <si>
    <t>TRX-047</t>
  </si>
  <si>
    <t>TRX-048</t>
  </si>
  <si>
    <t>TRX-049</t>
  </si>
  <si>
    <t>TRX-050</t>
  </si>
  <si>
    <t>TRX-051</t>
  </si>
  <si>
    <t>TRX-052</t>
  </si>
  <si>
    <t>TRX-053</t>
  </si>
  <si>
    <t>TRX-054</t>
  </si>
  <si>
    <t>TRX-055</t>
  </si>
  <si>
    <t>TRX-056</t>
  </si>
  <si>
    <t>TRX-057</t>
  </si>
  <si>
    <t>TRX-058</t>
  </si>
  <si>
    <t>TRX-059</t>
  </si>
  <si>
    <t>TRX-060</t>
  </si>
  <si>
    <t>TRX-061</t>
  </si>
  <si>
    <t>TRX-062</t>
  </si>
  <si>
    <t>TRX-063</t>
  </si>
  <si>
    <t>TRX-064</t>
  </si>
  <si>
    <t>TRX-065</t>
  </si>
  <si>
    <t>TRX-066</t>
  </si>
  <si>
    <t>TRX-067</t>
  </si>
  <si>
    <t>TRX-068</t>
  </si>
  <si>
    <t>TRX-069</t>
  </si>
  <si>
    <t>TRX-070</t>
  </si>
  <si>
    <t>TRX-071</t>
  </si>
  <si>
    <t>TRX-072</t>
  </si>
  <si>
    <t>TRX-073</t>
  </si>
  <si>
    <t>TRX-074</t>
  </si>
  <si>
    <t>TRX-075</t>
  </si>
  <si>
    <t>TRX-076</t>
  </si>
  <si>
    <t>TRX-077</t>
  </si>
  <si>
    <t>TRX-078</t>
  </si>
  <si>
    <t>TRX-079</t>
  </si>
  <si>
    <t>TRX-080</t>
  </si>
  <si>
    <t>TRX-081</t>
  </si>
  <si>
    <t>TRX-082</t>
  </si>
  <si>
    <t>TRX-083</t>
  </si>
  <si>
    <t>TRX-084</t>
  </si>
  <si>
    <t>TRX-085</t>
  </si>
  <si>
    <t>TRX-086</t>
  </si>
  <si>
    <t>TRX-087</t>
  </si>
  <si>
    <t>TRX-088</t>
  </si>
  <si>
    <t>TRX-089</t>
  </si>
  <si>
    <t>TRX-090</t>
  </si>
  <si>
    <t>TRX-091</t>
  </si>
  <si>
    <t>TRX-092</t>
  </si>
  <si>
    <t>TRX-093</t>
  </si>
  <si>
    <t>TRX-094</t>
  </si>
  <si>
    <t>TRX-095</t>
  </si>
  <si>
    <t>TRX-096</t>
  </si>
  <si>
    <t>TRX-097</t>
  </si>
  <si>
    <t>TRX-098</t>
  </si>
  <si>
    <t>TRX-099</t>
  </si>
  <si>
    <t>TRX-100</t>
  </si>
  <si>
    <t>Nama Produk</t>
  </si>
  <si>
    <t>Harga Satuan</t>
  </si>
  <si>
    <t>Kategori</t>
  </si>
  <si>
    <t>Laptop Pro 14</t>
  </si>
  <si>
    <t>Komputer</t>
  </si>
  <si>
    <t>Mouse Wireless</t>
  </si>
  <si>
    <t>Aksesoris</t>
  </si>
  <si>
    <t>Keyboard Mechanical</t>
  </si>
  <si>
    <t>Monitor 27 Inch</t>
  </si>
  <si>
    <t>Flashdisk 64GB</t>
  </si>
  <si>
    <t>Quantity</t>
  </si>
  <si>
    <t>Total Harga</t>
  </si>
  <si>
    <t>Status Diskon</t>
  </si>
  <si>
    <t>Nominal Diskon</t>
  </si>
  <si>
    <t>Total Bayar</t>
  </si>
  <si>
    <t>LAPORAN PENJUALAN TOKO ELEKTRONIK CAHYA NUSANTARA (JANUARY 2023 - JANUARY 2025)</t>
  </si>
  <si>
    <t>Sum of Total Bayar</t>
  </si>
  <si>
    <t>Jan</t>
  </si>
  <si>
    <t>Feb</t>
  </si>
  <si>
    <t>Mar</t>
  </si>
  <si>
    <t>Apr</t>
  </si>
  <si>
    <t>May</t>
  </si>
  <si>
    <t>Jun</t>
  </si>
  <si>
    <t>Jul</t>
  </si>
  <si>
    <t>Aug</t>
  </si>
  <si>
    <t>Sep</t>
  </si>
  <si>
    <t>Oct</t>
  </si>
  <si>
    <t>Nov</t>
  </si>
  <si>
    <t>Dec</t>
  </si>
  <si>
    <t>2023</t>
  </si>
  <si>
    <t>2024</t>
  </si>
  <si>
    <t>2025</t>
  </si>
  <si>
    <t>Years (Tanggal Beli)</t>
  </si>
  <si>
    <t>Months (Tanggal Beli)</t>
  </si>
  <si>
    <t>Budi Santoso</t>
  </si>
  <si>
    <t>Dewi Lestari</t>
  </si>
  <si>
    <t>Nina Herlina</t>
  </si>
  <si>
    <t>Umay Shahab</t>
  </si>
  <si>
    <t>PENJUALAN TOKO ELEKTRONIK CAHYA NUSANTARA</t>
  </si>
  <si>
    <t>Grand Total</t>
  </si>
  <si>
    <t>"Penjualan menunjukkan performa yang positif, dengan kontribusi terbesar berasal dari produk Laptop Pro 14 dan kategori Komputer dengan permintaan tinggi. Fokuskan strategi pada produk unggulan, pertahankan pelanggan potensial, dan optimalkan penjualan pada periode dengan performa rendah."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</si>
</sst>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Rp&quot;* #,##0.00_-;\-&quot;Rp&quot;* #,##0.00_-;_-&quot;Rp&quot;* &quot;-&quot;??_-;_-@_-"/>
    <numFmt numFmtId="164" formatCode="&quot;Rp&quot;#,##0"/>
    <numFmt numFmtId="165" formatCode="dd\-mmm\-yyyy"/>
    <numFmt numFmtId="166" formatCode="_-[$Rp-3809]* #,##0_-;\-[$Rp-3809]* #,##0_-;_-[$Rp-3809]* &quot;-&quot;??_-;_-@_-"/>
    <numFmt numFmtId="167" formatCode="_-&quot;Rp&quot;* #,##0_-;\-&quot;Rp&quot;* #,##0_-;_-&quot;Rp&quot;* &quot;-&quot;??_-;_-@_-"/>
  </numFmts>
  <fonts count="10" x14ac:knownFonts="1">
    <font>
      <sz val="11"/>
      <color theme="1"/>
      <name val="Calibri"/>
      <family val="2"/>
      <scheme val="minor"/>
    </font>
    <font>
      <sz val="11"/>
      <color theme="1"/>
      <name val="Calibri"/>
      <family val="2"/>
      <scheme val="minor"/>
    </font>
    <font>
      <sz val="11"/>
      <color theme="1"/>
      <name val="Poppins"/>
    </font>
    <font>
      <sz val="10"/>
      <color theme="1"/>
      <name val="Poppins"/>
    </font>
    <font>
      <sz val="10"/>
      <color rgb="FF1F1F1F"/>
      <name val="Poppins"/>
    </font>
    <font>
      <b/>
      <sz val="10"/>
      <color rgb="FF1F1F1F"/>
      <name val="Poppins"/>
    </font>
    <font>
      <sz val="10"/>
      <color theme="0"/>
      <name val="Poppins"/>
    </font>
    <font>
      <b/>
      <sz val="14"/>
      <color rgb="FF023047"/>
      <name val="Poppins"/>
    </font>
    <font>
      <b/>
      <sz val="28"/>
      <color rgb="FFE0F1F8"/>
      <name val="Poppins"/>
    </font>
    <font>
      <i/>
      <sz val="11"/>
      <color rgb="FFE0F1F8"/>
      <name val="Poppins"/>
    </font>
  </fonts>
  <fills count="4">
    <fill>
      <patternFill patternType="none"/>
    </fill>
    <fill>
      <patternFill patternType="gray125"/>
    </fill>
    <fill>
      <patternFill patternType="solid">
        <fgColor rgb="FF023047"/>
        <bgColor indexed="64"/>
      </patternFill>
    </fill>
    <fill>
      <patternFill patternType="solid">
        <fgColor theme="0"/>
        <bgColor indexed="64"/>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0" fontId="2" fillId="0" borderId="0" xfId="0" applyFont="1"/>
    <xf numFmtId="0" fontId="4" fillId="0" borderId="0" xfId="0" applyFont="1" applyAlignment="1">
      <alignment horizontal="left" vertical="center" wrapText="1" indent="1" readingOrder="1"/>
    </xf>
    <xf numFmtId="0" fontId="3" fillId="0" borderId="0" xfId="0" applyFont="1"/>
    <xf numFmtId="164" fontId="3" fillId="0" borderId="0" xfId="0" applyNumberFormat="1" applyFont="1"/>
    <xf numFmtId="0" fontId="5" fillId="0" borderId="1" xfId="0" applyFont="1" applyBorder="1" applyAlignment="1">
      <alignment horizontal="left" vertical="center" wrapText="1" indent="1" readingOrder="1"/>
    </xf>
    <xf numFmtId="0" fontId="4" fillId="0" borderId="1" xfId="0" applyFont="1" applyBorder="1" applyAlignment="1">
      <alignment horizontal="left" vertical="center" wrapText="1" indent="1" readingOrder="1"/>
    </xf>
    <xf numFmtId="14" fontId="4" fillId="0" borderId="1" xfId="0" applyNumberFormat="1" applyFont="1" applyBorder="1" applyAlignment="1">
      <alignment horizontal="left" vertical="center" wrapText="1" indent="1" readingOrder="1"/>
    </xf>
    <xf numFmtId="15" fontId="4" fillId="0" borderId="1" xfId="0" applyNumberFormat="1" applyFont="1" applyBorder="1" applyAlignment="1">
      <alignment horizontal="left" vertical="center" wrapText="1" indent="1" readingOrder="1"/>
    </xf>
    <xf numFmtId="165" fontId="3" fillId="0" borderId="0" xfId="0" applyNumberFormat="1" applyFont="1"/>
    <xf numFmtId="166" fontId="3" fillId="0" borderId="0" xfId="0" applyNumberFormat="1" applyFont="1"/>
    <xf numFmtId="167" fontId="3" fillId="0" borderId="0" xfId="1" applyNumberFormat="1" applyFont="1"/>
    <xf numFmtId="0" fontId="3" fillId="0" borderId="0" xfId="0" pivotButton="1" applyFont="1"/>
    <xf numFmtId="0" fontId="7" fillId="0" borderId="0" xfId="0" applyFont="1" applyAlignment="1">
      <alignment horizontal="center" vertical="center"/>
    </xf>
    <xf numFmtId="0" fontId="3" fillId="2" borderId="0" xfId="0" applyFont="1" applyFill="1" applyAlignment="1">
      <alignment horizontal="center"/>
    </xf>
    <xf numFmtId="0" fontId="6" fillId="2" borderId="0" xfId="0" applyFont="1" applyFill="1"/>
    <xf numFmtId="0" fontId="8" fillId="2" borderId="0" xfId="0" applyFont="1" applyFill="1" applyAlignment="1">
      <alignment horizontal="center" vertical="center"/>
    </xf>
    <xf numFmtId="0" fontId="0" fillId="3" borderId="0" xfId="0" applyFill="1"/>
    <xf numFmtId="0" fontId="9" fillId="2" borderId="0" xfId="0" applyFont="1" applyFill="1" applyAlignment="1">
      <alignment horizontal="center" vertical="center" wrapText="1"/>
    </xf>
  </cellXfs>
  <cellStyles count="2">
    <cellStyle name="Currency" xfId="1" builtinId="4"/>
    <cellStyle name="Normal" xfId="0" builtinId="0"/>
  </cellStyles>
  <dxfs count="2335">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color theme="0"/>
      </font>
    </dxf>
    <dxf>
      <font>
        <color theme="0"/>
      </font>
    </dxf>
    <dxf>
      <font>
        <color theme="0"/>
      </font>
    </dxf>
    <dxf>
      <font>
        <color theme="0"/>
      </font>
    </dxf>
    <dxf>
      <font>
        <color theme="0"/>
      </font>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ill>
        <patternFill patternType="solid">
          <bgColor rgb="FF023047"/>
        </patternFill>
      </fill>
    </dxf>
    <dxf>
      <fill>
        <patternFill patternType="solid">
          <bgColor rgb="FF023047"/>
        </patternFill>
      </fill>
    </dxf>
    <dxf>
      <font>
        <color theme="0"/>
      </font>
    </dxf>
    <dxf>
      <font>
        <color theme="0"/>
      </font>
    </dxf>
    <dxf>
      <font>
        <b/>
        <i val="0"/>
        <sz val="11"/>
        <color rgb="FFE0F1F8"/>
        <name val="Poppins"/>
        <scheme val="none"/>
      </font>
    </dxf>
    <dxf>
      <font>
        <b val="0"/>
        <i val="0"/>
        <sz val="9"/>
        <name val="Poppins"/>
        <scheme val="none"/>
      </font>
      <fill>
        <patternFill>
          <bgColor rgb="FF023047"/>
        </patternFill>
      </fill>
    </dxf>
    <dxf>
      <font>
        <color theme="0"/>
      </font>
    </dxf>
    <dxf>
      <font>
        <color theme="0"/>
      </font>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ont>
        <color theme="0"/>
      </font>
    </dxf>
    <dxf>
      <font>
        <color theme="0"/>
      </font>
    </dxf>
    <dxf>
      <font>
        <color theme="0"/>
      </font>
    </dxf>
    <dxf>
      <font>
        <color theme="0"/>
      </font>
    </dxf>
    <dxf>
      <font>
        <color theme="0"/>
      </font>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patternType="solid">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ill>
        <patternFill>
          <bgColor rgb="FF023047"/>
        </patternFill>
      </fill>
    </dxf>
    <dxf>
      <font>
        <b val="0"/>
        <i val="0"/>
        <strike val="0"/>
        <condense val="0"/>
        <extend val="0"/>
        <outline val="0"/>
        <shadow val="0"/>
        <u val="none"/>
        <vertAlign val="baseline"/>
        <sz val="10"/>
        <color theme="1"/>
        <name val="Poppins"/>
        <scheme val="none"/>
      </font>
      <fill>
        <patternFill patternType="solid">
          <fgColor indexed="64"/>
          <bgColor rgb="FF023047"/>
        </patternFill>
      </fill>
      <alignment horizontal="center" vertical="bottom" textRotation="0" wrapText="0" indent="0" justifyLastLine="0" shrinkToFit="0" readingOrder="0"/>
    </dxf>
    <dxf>
      <font>
        <b/>
        <i val="0"/>
        <sz val="11"/>
        <color rgb="FFE0F1F8"/>
        <name val="Poppins"/>
        <scheme val="none"/>
      </font>
    </dxf>
    <dxf>
      <font>
        <b val="0"/>
        <i val="0"/>
        <sz val="8"/>
        <color theme="0"/>
        <name val="Poppins"/>
        <scheme val="none"/>
      </font>
      <fill>
        <patternFill patternType="solid">
          <fgColor theme="0"/>
          <bgColor rgb="FF023047"/>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dxf>
    <dxf>
      <font>
        <color theme="0"/>
      </font>
    </dxf>
    <dxf>
      <font>
        <color theme="0"/>
      </font>
    </dxf>
    <dxf>
      <font>
        <color theme="0"/>
      </font>
    </dxf>
    <dxf>
      <font>
        <color theme="0"/>
      </font>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ill>
        <patternFill patternType="solid">
          <bgColor rgb="FF219EBC"/>
        </patternFill>
      </fill>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b val="0"/>
        <i val="0"/>
        <strike val="0"/>
        <condense val="0"/>
        <extend val="0"/>
        <outline val="0"/>
        <shadow val="0"/>
        <u val="none"/>
        <vertAlign val="baseline"/>
        <sz val="10"/>
        <color theme="1"/>
        <name val="Poppins"/>
        <scheme val="none"/>
      </font>
      <numFmt numFmtId="164" formatCode="&quot;Rp&quot;#,##0"/>
    </dxf>
    <dxf>
      <font>
        <b val="0"/>
        <i val="0"/>
        <strike val="0"/>
        <condense val="0"/>
        <extend val="0"/>
        <outline val="0"/>
        <shadow val="0"/>
        <u val="none"/>
        <vertAlign val="baseline"/>
        <sz val="10"/>
        <color theme="1"/>
        <name val="Poppins"/>
        <scheme val="none"/>
      </font>
      <numFmt numFmtId="167" formatCode="_-&quot;Rp&quot;* #,##0_-;\-&quot;Rp&quot;* #,##0_-;_-&quot;Rp&quot;* &quot;-&quot;??_-;_-@_-"/>
    </dxf>
    <dxf>
      <font>
        <b val="0"/>
        <i val="0"/>
        <strike val="0"/>
        <condense val="0"/>
        <extend val="0"/>
        <outline val="0"/>
        <shadow val="0"/>
        <u val="none"/>
        <vertAlign val="baseline"/>
        <sz val="10"/>
        <color theme="1"/>
        <name val="Poppins"/>
        <scheme val="none"/>
      </font>
      <numFmt numFmtId="0" formatCode="General"/>
    </dxf>
    <dxf>
      <font>
        <b val="0"/>
        <i val="0"/>
        <strike val="0"/>
        <condense val="0"/>
        <extend val="0"/>
        <outline val="0"/>
        <shadow val="0"/>
        <u val="none"/>
        <vertAlign val="baseline"/>
        <sz val="10"/>
        <color theme="1"/>
        <name val="Poppins"/>
        <scheme val="none"/>
      </font>
      <numFmt numFmtId="0" formatCode="General"/>
    </dxf>
    <dxf>
      <font>
        <b val="0"/>
        <i val="0"/>
        <strike val="0"/>
        <condense val="0"/>
        <extend val="0"/>
        <outline val="0"/>
        <shadow val="0"/>
        <u val="none"/>
        <vertAlign val="baseline"/>
        <sz val="10"/>
        <color theme="1"/>
        <name val="Poppins"/>
        <scheme val="none"/>
      </font>
      <numFmt numFmtId="166" formatCode="_-[$Rp-3809]* #,##0_-;\-[$Rp-3809]* #,##0_-;_-[$Rp-3809]* &quot;-&quot;??_-;_-@_-"/>
    </dxf>
    <dxf>
      <font>
        <b val="0"/>
        <i val="0"/>
        <strike val="0"/>
        <condense val="0"/>
        <extend val="0"/>
        <outline val="0"/>
        <shadow val="0"/>
        <u val="none"/>
        <vertAlign val="baseline"/>
        <sz val="10"/>
        <color theme="1"/>
        <name val="Poppins"/>
        <scheme val="none"/>
      </font>
      <numFmt numFmtId="0" formatCode="General"/>
    </dxf>
    <dxf>
      <font>
        <b val="0"/>
        <i val="0"/>
        <strike val="0"/>
        <condense val="0"/>
        <extend val="0"/>
        <outline val="0"/>
        <shadow val="0"/>
        <u val="none"/>
        <vertAlign val="baseline"/>
        <sz val="10"/>
        <color theme="1"/>
        <name val="Poppins"/>
        <scheme val="none"/>
      </font>
      <numFmt numFmtId="165" formatCode="dd\-mmm\-yyyy"/>
    </dxf>
    <dxf>
      <font>
        <b val="0"/>
        <i val="0"/>
        <strike val="0"/>
        <condense val="0"/>
        <extend val="0"/>
        <outline val="0"/>
        <shadow val="0"/>
        <u val="none"/>
        <vertAlign val="baseline"/>
        <sz val="10"/>
        <color theme="1"/>
        <name val="Poppins"/>
        <scheme val="none"/>
      </font>
      <numFmt numFmtId="0" formatCode="General"/>
    </dxf>
    <dxf>
      <font>
        <b val="0"/>
        <i val="0"/>
        <strike val="0"/>
        <condense val="0"/>
        <extend val="0"/>
        <outline val="0"/>
        <shadow val="0"/>
        <u val="none"/>
        <vertAlign val="baseline"/>
        <sz val="10"/>
        <color theme="1"/>
        <name val="Poppins"/>
        <scheme val="none"/>
      </font>
      <numFmt numFmtId="166" formatCode="_-[$Rp-3809]* #,##0_-;\-[$Rp-3809]* #,##0_-;_-[$Rp-3809]* &quot;-&quot;??_-;_-@_-"/>
    </dxf>
    <dxf>
      <font>
        <b val="0"/>
        <i val="0"/>
        <strike val="0"/>
        <condense val="0"/>
        <extend val="0"/>
        <outline val="0"/>
        <shadow val="0"/>
        <u val="none"/>
        <vertAlign val="baseline"/>
        <sz val="10"/>
        <color theme="1"/>
        <name val="Poppins"/>
        <scheme val="none"/>
      </font>
      <numFmt numFmtId="0" formatCode="General"/>
    </dxf>
    <dxf>
      <font>
        <b val="0"/>
        <i val="0"/>
        <strike val="0"/>
        <condense val="0"/>
        <extend val="0"/>
        <outline val="0"/>
        <shadow val="0"/>
        <u val="none"/>
        <vertAlign val="baseline"/>
        <sz val="10"/>
        <color theme="1"/>
        <name val="Poppins"/>
        <scheme val="none"/>
      </font>
      <numFmt numFmtId="0" formatCode="General"/>
    </dxf>
    <dxf>
      <font>
        <b val="0"/>
        <i val="0"/>
        <strike val="0"/>
        <condense val="0"/>
        <extend val="0"/>
        <outline val="0"/>
        <shadow val="0"/>
        <u val="none"/>
        <vertAlign val="baseline"/>
        <sz val="10"/>
        <color theme="1"/>
        <name val="Poppins"/>
        <scheme val="none"/>
      </font>
      <numFmt numFmtId="0" formatCode="General"/>
    </dxf>
    <dxf>
      <font>
        <b val="0"/>
        <i val="0"/>
        <strike val="0"/>
        <condense val="0"/>
        <extend val="0"/>
        <outline val="0"/>
        <shadow val="0"/>
        <u val="none"/>
        <vertAlign val="baseline"/>
        <sz val="10"/>
        <color rgb="FF1F1F1F"/>
        <name val="Poppins"/>
        <scheme val="none"/>
      </font>
      <alignment horizontal="left" vertical="center" textRotation="0" wrapText="1" indent="1" justifyLastLine="0" shrinkToFit="0" readingOrder="1"/>
    </dxf>
    <dxf>
      <font>
        <b val="0"/>
        <i val="0"/>
        <strike val="0"/>
        <condense val="0"/>
        <extend val="0"/>
        <outline val="0"/>
        <shadow val="0"/>
        <u val="none"/>
        <vertAlign val="baseline"/>
        <sz val="10"/>
        <color theme="1"/>
        <name val="Poppins"/>
        <scheme val="none"/>
      </font>
    </dxf>
    <dxf>
      <font>
        <sz val="10"/>
      </font>
    </dxf>
    <dxf>
      <font>
        <sz val="10"/>
      </font>
    </dxf>
    <dxf>
      <font>
        <sz val="10"/>
      </font>
    </dxf>
    <dxf>
      <font>
        <sz val="10"/>
      </font>
    </dxf>
    <dxf>
      <font>
        <sz val="10"/>
      </font>
    </dxf>
    <dxf>
      <font>
        <sz val="10"/>
      </font>
    </dxf>
    <dxf>
      <font>
        <sz val="10"/>
      </font>
    </dxf>
    <dxf>
      <font>
        <sz val="10"/>
      </font>
    </dxf>
    <dxf>
      <font>
        <sz val="10"/>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s>
  <tableStyles count="2" defaultTableStyle="TableStyleMedium2" defaultPivotStyle="PivotStyleLight16">
    <tableStyle name="Sales Slicer Styles" pivot="0" table="0" count="5" xr9:uid="{50B20AE4-282A-47EB-926D-36706406DE91}">
      <tableStyleElement type="wholeTable" dxfId="2142"/>
      <tableStyleElement type="headerRow" dxfId="2141"/>
    </tableStyle>
    <tableStyle name="Total Sales Timeline Style" pivot="0" table="0" count="8" xr9:uid="{8345751D-B822-4E6B-8515-F3791BF22641}">
      <tableStyleElement type="wholeTable" dxfId="2194"/>
      <tableStyleElement type="headerRow" dxfId="2193"/>
    </tableStyle>
  </tableStyles>
  <colors>
    <mruColors>
      <color rgb="FFE0F1F8"/>
      <color rgb="FF023047"/>
      <color rgb="FFFFFFFF"/>
      <color rgb="FF219EBC"/>
      <color rgb="FFFB8500"/>
      <color rgb="FFFFB703"/>
      <color rgb="FF8ECAE6"/>
      <color rgb="FF061E24"/>
    </mruColors>
  </colors>
  <extLst>
    <ext xmlns:x14="http://schemas.microsoft.com/office/spreadsheetml/2009/9/main" uri="{46F421CA-312F-682f-3DD2-61675219B42D}">
      <x14:dxfs count="3">
        <dxf>
          <font>
            <b val="0"/>
            <i val="0"/>
            <sz val="9"/>
            <color rgb="FFE0F1F8"/>
            <name val="Poppins"/>
            <scheme val="none"/>
          </font>
          <fill>
            <patternFill>
              <bgColor rgb="FF219EBC"/>
            </patternFill>
          </fill>
        </dxf>
        <dxf>
          <font>
            <b val="0"/>
            <i val="0"/>
            <sz val="9"/>
            <color rgb="FFE0F1F8"/>
            <name val="Poppins"/>
            <scheme val="none"/>
          </font>
          <fill>
            <patternFill>
              <bgColor rgb="FF219EBC"/>
            </patternFill>
          </fill>
        </dxf>
        <dxf>
          <font>
            <b val="0"/>
            <i val="0"/>
            <sz val="9"/>
            <color rgb="FF023047"/>
            <name val="Poppins"/>
            <scheme val="none"/>
          </font>
          <fill>
            <patternFill>
              <bgColor rgb="FFE0F1F8"/>
            </patternFill>
          </fill>
        </dxf>
      </x14:dxfs>
    </ext>
    <ext xmlns:x14="http://schemas.microsoft.com/office/spreadsheetml/2009/9/main" uri="{EB79DEF2-80B8-43e5-95BD-54CBDDF9020C}">
      <x14:slicerStyles defaultSlicerStyle="SlicerStyleLight1">
        <x14:slicerStyle name="Sales Slicer Styles">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8ECAE6"/>
            </patternFill>
          </fill>
        </dxf>
        <dxf>
          <fill>
            <patternFill patternType="solid">
              <fgColor theme="0"/>
              <bgColor rgb="FF219EBC"/>
            </patternFill>
          </fill>
        </dxf>
        <dxf>
          <font>
            <b val="0"/>
            <i val="0"/>
            <sz val="9"/>
            <color rgb="FFE0F1F8"/>
            <name val="Poppins"/>
            <scheme val="none"/>
          </font>
        </dxf>
        <dxf>
          <font>
            <b val="0"/>
            <i val="0"/>
            <sz val="9"/>
            <color rgb="FFE0F1F8"/>
            <name val="Poppins"/>
            <scheme val="none"/>
          </font>
        </dxf>
        <dxf>
          <font>
            <b val="0"/>
            <i val="0"/>
            <sz val="9"/>
            <color rgb="FFE0F1F8"/>
            <name val="Poppins"/>
            <scheme val="none"/>
          </font>
        </dxf>
        <dxf>
          <font>
            <b val="0"/>
            <i val="0"/>
            <sz val="10"/>
            <color rgb="FFE0F1F8"/>
            <name val="Poppins"/>
            <scheme val="none"/>
          </font>
        </dxf>
      </x15:dxfs>
    </ext>
    <ext xmlns:x15="http://schemas.microsoft.com/office/spreadsheetml/2010/11/main" uri="{9260A510-F301-46a8-8635-F512D64BE5F5}">
      <x15:timelineStyles defaultTimelineStyle="TimeSlicerStyleLight1">
        <x15:timelineStyle name="Total Sales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[Study Case 1.xlsx]TotalSalesFlashdisk!TotalSales</c:name>
    <c:fmtId val="23"/>
  </c:pivotSource>
  <c:chart>
    <c:title>
      <c:tx>
        <c:rich>
          <a:bodyPr rot="0" spcFirstLastPara="1" vertOverflow="ellipsis" vert="horz" wrap="square" anchor="ctr" anchorCtr="1"/>
          <a:lstStyle/>
          <a:p>
            <a:pPr>
              <a:defRPr sz="1100" b="1" i="0" u="none" strike="noStrike" kern="1200" spc="0" baseline="0">
                <a:ln>
                  <a:noFill/>
                </a:ln>
                <a:solidFill>
                  <a:srgbClr val="023047"/>
                </a:solidFill>
                <a:latin typeface="Poppins" panose="00000500000000000000" pitchFamily="2" charset="0"/>
                <a:ea typeface="+mn-ea"/>
                <a:cs typeface="Poppins" panose="00000500000000000000" pitchFamily="2" charset="0"/>
              </a:defRPr>
            </a:pPr>
            <a:r>
              <a:rPr lang="en-US" sz="1100" b="1">
                <a:ln>
                  <a:noFill/>
                </a:ln>
                <a:solidFill>
                  <a:srgbClr val="023047"/>
                </a:solidFill>
                <a:latin typeface="Poppins" panose="00000500000000000000" pitchFamily="2" charset="0"/>
                <a:cs typeface="Poppins" panose="00000500000000000000" pitchFamily="2" charset="0"/>
              </a:rPr>
              <a:t>Total Penjualan Flashdisk 64GB</a:t>
            </a:r>
          </a:p>
        </c:rich>
      </c:tx>
      <c:overlay val="0"/>
      <c:spPr>
        <a:noFill/>
        <a:ln>
          <a:noFill/>
        </a:ln>
        <a:effectLst/>
      </c:spPr>
      <c:txPr>
        <a:bodyPr rot="0" spcFirstLastPara="1" vertOverflow="ellipsis" vert="horz" wrap="square" anchor="ctr" anchorCtr="1"/>
        <a:lstStyle/>
        <a:p>
          <a:pPr>
            <a:defRPr sz="1100" b="1" i="0" u="none" strike="noStrike" kern="1200" spc="0" baseline="0">
              <a:ln>
                <a:noFill/>
              </a:ln>
              <a:solidFill>
                <a:srgbClr val="023047"/>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TotalSalesFlashdisk!$C$4:$C$5</c:f>
              <c:strCache>
                <c:ptCount val="1"/>
                <c:pt idx="0">
                  <c:v>Flashdisk 64GB</c:v>
                </c:pt>
              </c:strCache>
            </c:strRef>
          </c:tx>
          <c:spPr>
            <a:ln w="28575" cap="rnd">
              <a:solidFill>
                <a:srgbClr val="219EBC"/>
              </a:solidFill>
              <a:round/>
            </a:ln>
            <a:effectLst/>
          </c:spPr>
          <c:marker>
            <c:symbol val="circle"/>
            <c:size val="5"/>
            <c:spPr>
              <a:solidFill>
                <a:schemeClr val="accent1"/>
              </a:solidFill>
              <a:ln w="9525">
                <a:solidFill>
                  <a:schemeClr val="accent1"/>
                </a:solidFill>
              </a:ln>
              <a:effectLst/>
            </c:spPr>
          </c:marker>
          <c:cat>
            <c:multiLvlStrRef>
              <c:f>TotalSalesFlashdisk!$A$6:$B$24</c:f>
              <c:multiLvlStrCache>
                <c:ptCount val="18"/>
                <c:lvl>
                  <c:pt idx="0">
                    <c:v>Feb</c:v>
                  </c:pt>
                  <c:pt idx="1">
                    <c:v>Mar</c:v>
                  </c:pt>
                  <c:pt idx="2">
                    <c:v>Apr</c:v>
                  </c:pt>
                  <c:pt idx="3">
                    <c:v>Jun</c:v>
                  </c:pt>
                  <c:pt idx="4">
                    <c:v>Jul</c:v>
                  </c:pt>
                  <c:pt idx="5">
                    <c:v>Aug</c:v>
                  </c:pt>
                  <c:pt idx="6">
                    <c:v>Sep</c:v>
                  </c:pt>
                  <c:pt idx="7">
                    <c:v>Oct</c:v>
                  </c:pt>
                  <c:pt idx="8">
                    <c:v>Jan</c:v>
                  </c:pt>
                  <c:pt idx="9">
                    <c:v>Feb</c:v>
                  </c:pt>
                  <c:pt idx="10">
                    <c:v>Mar</c:v>
                  </c:pt>
                  <c:pt idx="11">
                    <c:v>May</c:v>
                  </c:pt>
                  <c:pt idx="12">
                    <c:v>Jun</c:v>
                  </c:pt>
                  <c:pt idx="13">
                    <c:v>Jul</c:v>
                  </c:pt>
                  <c:pt idx="14">
                    <c:v>Aug</c:v>
                  </c:pt>
                  <c:pt idx="15">
                    <c:v>Nov</c:v>
                  </c:pt>
                  <c:pt idx="16">
                    <c:v>Dec</c:v>
                  </c:pt>
                  <c:pt idx="17">
                    <c:v>Jan</c:v>
                  </c:pt>
                </c:lvl>
                <c:lvl>
                  <c:pt idx="0">
                    <c:v>2023</c:v>
                  </c:pt>
                  <c:pt idx="8">
                    <c:v>2024</c:v>
                  </c:pt>
                  <c:pt idx="17">
                    <c:v>2025</c:v>
                  </c:pt>
                </c:lvl>
              </c:multiLvlStrCache>
            </c:multiLvlStrRef>
          </c:cat>
          <c:val>
            <c:numRef>
              <c:f>TotalSalesFlashdisk!$C$6:$C$24</c:f>
              <c:numCache>
                <c:formatCode>"Rp"#,##0</c:formatCode>
                <c:ptCount val="18"/>
                <c:pt idx="0">
                  <c:v>665000</c:v>
                </c:pt>
                <c:pt idx="1">
                  <c:v>570000</c:v>
                </c:pt>
                <c:pt idx="2">
                  <c:v>380000</c:v>
                </c:pt>
                <c:pt idx="3">
                  <c:v>475000</c:v>
                </c:pt>
                <c:pt idx="4">
                  <c:v>380000</c:v>
                </c:pt>
                <c:pt idx="5">
                  <c:v>475000</c:v>
                </c:pt>
                <c:pt idx="6">
                  <c:v>475000</c:v>
                </c:pt>
                <c:pt idx="7">
                  <c:v>285000</c:v>
                </c:pt>
                <c:pt idx="8">
                  <c:v>570000</c:v>
                </c:pt>
                <c:pt idx="9">
                  <c:v>190000</c:v>
                </c:pt>
                <c:pt idx="10">
                  <c:v>760000</c:v>
                </c:pt>
                <c:pt idx="11">
                  <c:v>570000</c:v>
                </c:pt>
                <c:pt idx="12">
                  <c:v>380000</c:v>
                </c:pt>
                <c:pt idx="13">
                  <c:v>285000</c:v>
                </c:pt>
                <c:pt idx="14">
                  <c:v>190000</c:v>
                </c:pt>
                <c:pt idx="15">
                  <c:v>950000</c:v>
                </c:pt>
                <c:pt idx="16">
                  <c:v>380000</c:v>
                </c:pt>
                <c:pt idx="17">
                  <c:v>950000</c:v>
                </c:pt>
              </c:numCache>
            </c:numRef>
          </c:val>
          <c:smooth val="0"/>
          <c:extLst>
            <c:ext xmlns:c16="http://schemas.microsoft.com/office/drawing/2014/chart" uri="{C3380CC4-5D6E-409C-BE32-E72D297353CC}">
              <c16:uniqueId val="{00000001-8A7C-436B-8F3F-7FAFCD8C54B2}"/>
            </c:ext>
          </c:extLst>
        </c:ser>
        <c:dLbls>
          <c:showLegendKey val="0"/>
          <c:showVal val="0"/>
          <c:showCatName val="0"/>
          <c:showSerName val="0"/>
          <c:showPercent val="0"/>
          <c:showBubbleSize val="0"/>
        </c:dLbls>
        <c:marker val="1"/>
        <c:smooth val="0"/>
        <c:axId val="1136029487"/>
        <c:axId val="1011588175"/>
      </c:lineChart>
      <c:catAx>
        <c:axId val="1136029487"/>
        <c:scaling>
          <c:orientation val="minMax"/>
        </c:scaling>
        <c:delete val="0"/>
        <c:axPos val="b"/>
        <c:numFmt formatCode="m/d/yyyy" sourceLinked="0"/>
        <c:majorTickMark val="none"/>
        <c:minorTickMark val="none"/>
        <c:tickLblPos val="nextTo"/>
        <c:spPr>
          <a:noFill/>
          <a:ln w="9525" cap="flat" cmpd="sng" algn="ctr">
            <a:solidFill>
              <a:schemeClr val="tx1"/>
            </a:solidFill>
            <a:round/>
          </a:ln>
          <a:effectLst/>
        </c:spPr>
        <c:txPr>
          <a:bodyPr rot="540000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crossAx val="1011588175"/>
        <c:crosses val="autoZero"/>
        <c:auto val="1"/>
        <c:lblAlgn val="ctr"/>
        <c:lblOffset val="100"/>
        <c:noMultiLvlLbl val="0"/>
      </c:catAx>
      <c:valAx>
        <c:axId val="1011588175"/>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crossAx val="113602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F1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[Study Case 1.xlsx]TotalSalesKeyboard!TotalSales</c:name>
    <c:fmtId val="21"/>
  </c:pivotSource>
  <c:chart>
    <c:title>
      <c:tx>
        <c:rich>
          <a:bodyPr rot="0" spcFirstLastPara="1" vertOverflow="ellipsis" vert="horz" wrap="square" anchor="ctr" anchorCtr="1"/>
          <a:lstStyle/>
          <a:p>
            <a:pPr>
              <a:defRPr sz="1100" b="1" i="0" u="none" strike="noStrike" kern="1200" spc="0" baseline="0">
                <a:solidFill>
                  <a:srgbClr val="023047"/>
                </a:solidFill>
                <a:latin typeface="Poppins" panose="00000500000000000000" pitchFamily="2" charset="0"/>
                <a:ea typeface="+mn-ea"/>
                <a:cs typeface="Poppins" panose="00000500000000000000" pitchFamily="2" charset="0"/>
              </a:defRPr>
            </a:pPr>
            <a:r>
              <a:rPr lang="en-US" sz="1100" b="1">
                <a:latin typeface="Poppins" panose="00000500000000000000" pitchFamily="2" charset="0"/>
                <a:cs typeface="Poppins" panose="00000500000000000000" pitchFamily="2" charset="0"/>
              </a:rPr>
              <a:t>Total Penjualan Keyboard Mechanical</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23047"/>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02304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304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304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TotalSalesKeyboard!$C$4:$C$5</c:f>
              <c:strCache>
                <c:ptCount val="1"/>
                <c:pt idx="0">
                  <c:v>Keyboard Mechanical</c:v>
                </c:pt>
              </c:strCache>
            </c:strRef>
          </c:tx>
          <c:spPr>
            <a:ln w="28575" cap="rnd">
              <a:solidFill>
                <a:srgbClr val="219EBC"/>
              </a:solidFill>
              <a:round/>
            </a:ln>
            <a:effectLst/>
          </c:spPr>
          <c:marker>
            <c:symbol val="circle"/>
            <c:size val="5"/>
            <c:spPr>
              <a:solidFill>
                <a:schemeClr val="accent1"/>
              </a:solidFill>
              <a:ln w="9525">
                <a:solidFill>
                  <a:schemeClr val="accent1"/>
                </a:solidFill>
              </a:ln>
              <a:effectLst/>
            </c:spPr>
          </c:marker>
          <c:cat>
            <c:multiLvlStrRef>
              <c:f>TotalSalesKeyboard!$A$6:$B$25</c:f>
              <c:multiLvlStrCache>
                <c:ptCount val="19"/>
                <c:lvl>
                  <c:pt idx="0">
                    <c:v>Jan</c:v>
                  </c:pt>
                  <c:pt idx="1">
                    <c:v>Feb</c:v>
                  </c:pt>
                  <c:pt idx="2">
                    <c:v>Mar</c:v>
                  </c:pt>
                  <c:pt idx="3">
                    <c:v>May</c:v>
                  </c:pt>
                  <c:pt idx="4">
                    <c:v>Jun</c:v>
                  </c:pt>
                  <c:pt idx="5">
                    <c:v>Jul</c:v>
                  </c:pt>
                  <c:pt idx="6">
                    <c:v>Aug</c:v>
                  </c:pt>
                  <c:pt idx="7">
                    <c:v>Oct</c:v>
                  </c:pt>
                  <c:pt idx="8">
                    <c:v>Nov</c:v>
                  </c:pt>
                  <c:pt idx="9">
                    <c:v>Dec</c:v>
                  </c:pt>
                  <c:pt idx="10">
                    <c:v>Jan</c:v>
                  </c:pt>
                  <c:pt idx="11">
                    <c:v>Mar</c:v>
                  </c:pt>
                  <c:pt idx="12">
                    <c:v>Apr</c:v>
                  </c:pt>
                  <c:pt idx="13">
                    <c:v>May</c:v>
                  </c:pt>
                  <c:pt idx="14">
                    <c:v>Jun</c:v>
                  </c:pt>
                  <c:pt idx="15">
                    <c:v>Sep</c:v>
                  </c:pt>
                  <c:pt idx="16">
                    <c:v>Oct</c:v>
                  </c:pt>
                  <c:pt idx="17">
                    <c:v>Nov</c:v>
                  </c:pt>
                  <c:pt idx="18">
                    <c:v>Jan</c:v>
                  </c:pt>
                </c:lvl>
                <c:lvl>
                  <c:pt idx="0">
                    <c:v>2023</c:v>
                  </c:pt>
                  <c:pt idx="10">
                    <c:v>2024</c:v>
                  </c:pt>
                  <c:pt idx="18">
                    <c:v>2025</c:v>
                  </c:pt>
                </c:lvl>
              </c:multiLvlStrCache>
            </c:multiLvlStrRef>
          </c:cat>
          <c:val>
            <c:numRef>
              <c:f>TotalSalesKeyboard!$C$6:$C$25</c:f>
              <c:numCache>
                <c:formatCode>"Rp"#,##0</c:formatCode>
                <c:ptCount val="19"/>
                <c:pt idx="0">
                  <c:v>450000</c:v>
                </c:pt>
                <c:pt idx="1">
                  <c:v>900000</c:v>
                </c:pt>
                <c:pt idx="2">
                  <c:v>1215000</c:v>
                </c:pt>
                <c:pt idx="3">
                  <c:v>900000</c:v>
                </c:pt>
                <c:pt idx="4">
                  <c:v>450000</c:v>
                </c:pt>
                <c:pt idx="5">
                  <c:v>450000</c:v>
                </c:pt>
                <c:pt idx="6">
                  <c:v>900000</c:v>
                </c:pt>
                <c:pt idx="7">
                  <c:v>450000</c:v>
                </c:pt>
                <c:pt idx="8">
                  <c:v>900000</c:v>
                </c:pt>
                <c:pt idx="9">
                  <c:v>450000</c:v>
                </c:pt>
                <c:pt idx="10">
                  <c:v>900000</c:v>
                </c:pt>
                <c:pt idx="11">
                  <c:v>900000</c:v>
                </c:pt>
                <c:pt idx="12">
                  <c:v>450000</c:v>
                </c:pt>
                <c:pt idx="13">
                  <c:v>450000</c:v>
                </c:pt>
                <c:pt idx="14">
                  <c:v>450000</c:v>
                </c:pt>
                <c:pt idx="15">
                  <c:v>1800000</c:v>
                </c:pt>
                <c:pt idx="16">
                  <c:v>900000</c:v>
                </c:pt>
                <c:pt idx="17">
                  <c:v>1215000</c:v>
                </c:pt>
                <c:pt idx="18">
                  <c:v>900000</c:v>
                </c:pt>
              </c:numCache>
            </c:numRef>
          </c:val>
          <c:smooth val="0"/>
          <c:extLst>
            <c:ext xmlns:c16="http://schemas.microsoft.com/office/drawing/2014/chart" uri="{C3380CC4-5D6E-409C-BE32-E72D297353CC}">
              <c16:uniqueId val="{00000000-60EB-4D83-94D1-8B1F91868DBE}"/>
            </c:ext>
          </c:extLst>
        </c:ser>
        <c:dLbls>
          <c:showLegendKey val="0"/>
          <c:showVal val="0"/>
          <c:showCatName val="0"/>
          <c:showSerName val="0"/>
          <c:showPercent val="0"/>
          <c:showBubbleSize val="0"/>
        </c:dLbls>
        <c:marker val="1"/>
        <c:smooth val="0"/>
        <c:axId val="1136029487"/>
        <c:axId val="1011588175"/>
      </c:lineChart>
      <c:catAx>
        <c:axId val="1136029487"/>
        <c:scaling>
          <c:orientation val="minMax"/>
        </c:scaling>
        <c:delete val="0"/>
        <c:axPos val="b"/>
        <c:numFmt formatCode="m/d/yyyy"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crossAx val="1011588175"/>
        <c:crosses val="autoZero"/>
        <c:auto val="1"/>
        <c:lblAlgn val="ctr"/>
        <c:lblOffset val="100"/>
        <c:noMultiLvlLbl val="0"/>
      </c:catAx>
      <c:valAx>
        <c:axId val="1011588175"/>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crossAx val="113602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F1F8"/>
    </a:solidFill>
    <a:ln w="9525" cap="flat" cmpd="sng" algn="ctr">
      <a:solidFill>
        <a:schemeClr val="tx1">
          <a:lumMod val="15000"/>
          <a:lumOff val="85000"/>
        </a:schemeClr>
      </a:solidFill>
      <a:round/>
    </a:ln>
    <a:effectLst/>
  </c:spPr>
  <c:txPr>
    <a:bodyPr/>
    <a:lstStyle/>
    <a:p>
      <a:pPr>
        <a:defRPr>
          <a:solidFill>
            <a:srgbClr val="02304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[Study Case 1.xlsx]TotalSalesMonitor!TotalSales</c:name>
    <c:fmtId val="23"/>
  </c:pivotSource>
  <c:chart>
    <c:title>
      <c:tx>
        <c:rich>
          <a:bodyPr rot="0" spcFirstLastPara="1" vertOverflow="ellipsis" vert="horz" wrap="square" anchor="ctr" anchorCtr="1"/>
          <a:lstStyle/>
          <a:p>
            <a:pPr>
              <a:defRPr sz="1100" b="1" i="0" u="none" strike="noStrike" kern="1200" spc="0" baseline="0">
                <a:solidFill>
                  <a:srgbClr val="023047"/>
                </a:solidFill>
                <a:latin typeface="Poppins" panose="00000500000000000000" pitchFamily="2" charset="0"/>
                <a:ea typeface="+mn-ea"/>
                <a:cs typeface="Poppins" panose="00000500000000000000" pitchFamily="2" charset="0"/>
              </a:defRPr>
            </a:pPr>
            <a:r>
              <a:rPr lang="en-US" sz="1100" b="1">
                <a:solidFill>
                  <a:srgbClr val="023047"/>
                </a:solidFill>
                <a:latin typeface="Poppins" panose="00000500000000000000" pitchFamily="2" charset="0"/>
                <a:cs typeface="Poppins" panose="00000500000000000000" pitchFamily="2" charset="0"/>
              </a:rPr>
              <a:t>Total Penjualan Monitor 27 Inch</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23047"/>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TotalSalesMonitor!$C$4:$C$5</c:f>
              <c:strCache>
                <c:ptCount val="1"/>
                <c:pt idx="0">
                  <c:v>Monitor 27 Inch</c:v>
                </c:pt>
              </c:strCache>
            </c:strRef>
          </c:tx>
          <c:spPr>
            <a:ln w="28575" cap="rnd">
              <a:solidFill>
                <a:srgbClr val="219EBC"/>
              </a:solidFill>
              <a:round/>
            </a:ln>
            <a:effectLst/>
          </c:spPr>
          <c:marker>
            <c:symbol val="circle"/>
            <c:size val="5"/>
            <c:spPr>
              <a:solidFill>
                <a:schemeClr val="accent1"/>
              </a:solidFill>
              <a:ln w="9525">
                <a:solidFill>
                  <a:schemeClr val="accent1"/>
                </a:solidFill>
              </a:ln>
              <a:effectLst/>
            </c:spPr>
          </c:marker>
          <c:cat>
            <c:multiLvlStrRef>
              <c:f>TotalSalesMonitor!$A$6:$B$26</c:f>
              <c:multiLvlStrCache>
                <c:ptCount val="20"/>
                <c:lvl>
                  <c:pt idx="0">
                    <c:v>Jan</c:v>
                  </c:pt>
                  <c:pt idx="1">
                    <c:v>Feb</c:v>
                  </c:pt>
                  <c:pt idx="2">
                    <c:v>Mar</c:v>
                  </c:pt>
                  <c:pt idx="3">
                    <c:v>May</c:v>
                  </c:pt>
                  <c:pt idx="4">
                    <c:v>Jun</c:v>
                  </c:pt>
                  <c:pt idx="5">
                    <c:v>Jul</c:v>
                  </c:pt>
                  <c:pt idx="6">
                    <c:v>Aug</c:v>
                  </c:pt>
                  <c:pt idx="7">
                    <c:v>Sep</c:v>
                  </c:pt>
                  <c:pt idx="8">
                    <c:v>Nov</c:v>
                  </c:pt>
                  <c:pt idx="9">
                    <c:v>Dec</c:v>
                  </c:pt>
                  <c:pt idx="10">
                    <c:v>Jan</c:v>
                  </c:pt>
                  <c:pt idx="11">
                    <c:v>Feb</c:v>
                  </c:pt>
                  <c:pt idx="12">
                    <c:v>Apr</c:v>
                  </c:pt>
                  <c:pt idx="13">
                    <c:v>May</c:v>
                  </c:pt>
                  <c:pt idx="14">
                    <c:v>Jun</c:v>
                  </c:pt>
                  <c:pt idx="15">
                    <c:v>Jul</c:v>
                  </c:pt>
                  <c:pt idx="16">
                    <c:v>Sep</c:v>
                  </c:pt>
                  <c:pt idx="17">
                    <c:v>Oct</c:v>
                  </c:pt>
                  <c:pt idx="18">
                    <c:v>Nov</c:v>
                  </c:pt>
                  <c:pt idx="19">
                    <c:v>Dec</c:v>
                  </c:pt>
                </c:lvl>
                <c:lvl>
                  <c:pt idx="0">
                    <c:v>2023</c:v>
                  </c:pt>
                  <c:pt idx="10">
                    <c:v>2024</c:v>
                  </c:pt>
                </c:lvl>
              </c:multiLvlStrCache>
            </c:multiLvlStrRef>
          </c:cat>
          <c:val>
            <c:numRef>
              <c:f>TotalSalesMonitor!$C$6:$C$26</c:f>
              <c:numCache>
                <c:formatCode>"Rp"#,##0</c:formatCode>
                <c:ptCount val="20"/>
                <c:pt idx="0">
                  <c:v>1890000</c:v>
                </c:pt>
                <c:pt idx="1">
                  <c:v>4200000</c:v>
                </c:pt>
                <c:pt idx="2">
                  <c:v>1890000</c:v>
                </c:pt>
                <c:pt idx="3">
                  <c:v>3780000</c:v>
                </c:pt>
                <c:pt idx="4">
                  <c:v>2100000</c:v>
                </c:pt>
                <c:pt idx="5">
                  <c:v>3780000</c:v>
                </c:pt>
                <c:pt idx="6">
                  <c:v>4200000</c:v>
                </c:pt>
                <c:pt idx="7">
                  <c:v>1890000</c:v>
                </c:pt>
                <c:pt idx="8">
                  <c:v>3780000</c:v>
                </c:pt>
                <c:pt idx="9">
                  <c:v>2100000</c:v>
                </c:pt>
                <c:pt idx="10">
                  <c:v>5670000</c:v>
                </c:pt>
                <c:pt idx="11">
                  <c:v>2100000</c:v>
                </c:pt>
                <c:pt idx="12">
                  <c:v>2100000</c:v>
                </c:pt>
                <c:pt idx="13">
                  <c:v>3780000</c:v>
                </c:pt>
                <c:pt idx="14">
                  <c:v>4200000</c:v>
                </c:pt>
                <c:pt idx="15">
                  <c:v>7560000</c:v>
                </c:pt>
                <c:pt idx="16">
                  <c:v>1890000</c:v>
                </c:pt>
                <c:pt idx="17">
                  <c:v>2100000</c:v>
                </c:pt>
                <c:pt idx="18">
                  <c:v>1890000</c:v>
                </c:pt>
                <c:pt idx="19">
                  <c:v>2100000</c:v>
                </c:pt>
              </c:numCache>
            </c:numRef>
          </c:val>
          <c:smooth val="0"/>
          <c:extLst>
            <c:ext xmlns:c16="http://schemas.microsoft.com/office/drawing/2014/chart" uri="{C3380CC4-5D6E-409C-BE32-E72D297353CC}">
              <c16:uniqueId val="{00000000-4267-486E-88C9-074EA559C37D}"/>
            </c:ext>
          </c:extLst>
        </c:ser>
        <c:dLbls>
          <c:showLegendKey val="0"/>
          <c:showVal val="0"/>
          <c:showCatName val="0"/>
          <c:showSerName val="0"/>
          <c:showPercent val="0"/>
          <c:showBubbleSize val="0"/>
        </c:dLbls>
        <c:marker val="1"/>
        <c:smooth val="0"/>
        <c:axId val="1136029487"/>
        <c:axId val="1011588175"/>
      </c:lineChart>
      <c:catAx>
        <c:axId val="1136029487"/>
        <c:scaling>
          <c:orientation val="minMax"/>
        </c:scaling>
        <c:delete val="0"/>
        <c:axPos val="b"/>
        <c:numFmt formatCode="m/d/yyyy"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crossAx val="1011588175"/>
        <c:crosses val="autoZero"/>
        <c:auto val="1"/>
        <c:lblAlgn val="ctr"/>
        <c:lblOffset val="100"/>
        <c:noMultiLvlLbl val="0"/>
      </c:catAx>
      <c:valAx>
        <c:axId val="1011588175"/>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crossAx val="113602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F1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[Study Case 1.xlsx]TotalSalesLaptopPro!TotalSales</c:name>
    <c:fmtId val="21"/>
  </c:pivotSource>
  <c:chart>
    <c:title>
      <c:tx>
        <c:rich>
          <a:bodyPr rot="0" spcFirstLastPara="1" vertOverflow="ellipsis" vert="horz" wrap="square" anchor="ctr" anchorCtr="1"/>
          <a:lstStyle/>
          <a:p>
            <a:pPr>
              <a:defRPr sz="1100" b="1" i="0" u="none" strike="noStrike" kern="1200" spc="0" baseline="0">
                <a:solidFill>
                  <a:srgbClr val="023047"/>
                </a:solidFill>
                <a:latin typeface="Poppins" panose="00000500000000000000" pitchFamily="2" charset="0"/>
                <a:ea typeface="+mn-ea"/>
                <a:cs typeface="Poppins" panose="00000500000000000000" pitchFamily="2" charset="0"/>
              </a:defRPr>
            </a:pPr>
            <a:r>
              <a:rPr lang="en-US" sz="1100" b="1">
                <a:solidFill>
                  <a:srgbClr val="023047"/>
                </a:solidFill>
                <a:latin typeface="Poppins" panose="00000500000000000000" pitchFamily="2" charset="0"/>
                <a:cs typeface="Poppins" panose="00000500000000000000" pitchFamily="2" charset="0"/>
              </a:rPr>
              <a:t>Total Penjualan Laptop</a:t>
            </a:r>
            <a:r>
              <a:rPr lang="en-US" sz="1100" b="1" baseline="0">
                <a:solidFill>
                  <a:srgbClr val="023047"/>
                </a:solidFill>
                <a:latin typeface="Poppins" panose="00000500000000000000" pitchFamily="2" charset="0"/>
                <a:cs typeface="Poppins" panose="00000500000000000000" pitchFamily="2" charset="0"/>
              </a:rPr>
              <a:t> Pro 14</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23047"/>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TotalSalesLaptopPro!$C$4:$C$5</c:f>
              <c:strCache>
                <c:ptCount val="1"/>
                <c:pt idx="0">
                  <c:v>Laptop Pro 14</c:v>
                </c:pt>
              </c:strCache>
            </c:strRef>
          </c:tx>
          <c:spPr>
            <a:ln w="28575" cap="rnd">
              <a:solidFill>
                <a:srgbClr val="219EBC"/>
              </a:solidFill>
              <a:round/>
            </a:ln>
            <a:effectLst/>
          </c:spPr>
          <c:marker>
            <c:symbol val="circle"/>
            <c:size val="5"/>
            <c:spPr>
              <a:solidFill>
                <a:schemeClr val="accent1"/>
              </a:solidFill>
              <a:ln w="9525">
                <a:solidFill>
                  <a:schemeClr val="accent1"/>
                </a:solidFill>
              </a:ln>
              <a:effectLst/>
            </c:spPr>
          </c:marker>
          <c:cat>
            <c:multiLvlStrRef>
              <c:f>TotalSalesLaptopPro!$A$6:$B$24</c:f>
              <c:multiLvlStrCache>
                <c:ptCount val="18"/>
                <c:lvl>
                  <c:pt idx="0">
                    <c:v>Jan</c:v>
                  </c:pt>
                  <c:pt idx="1">
                    <c:v>Mar</c:v>
                  </c:pt>
                  <c:pt idx="2">
                    <c:v>Apr</c:v>
                  </c:pt>
                  <c:pt idx="3">
                    <c:v>May</c:v>
                  </c:pt>
                  <c:pt idx="4">
                    <c:v>Aug</c:v>
                  </c:pt>
                  <c:pt idx="5">
                    <c:v>Sep</c:v>
                  </c:pt>
                  <c:pt idx="6">
                    <c:v>Oct</c:v>
                  </c:pt>
                  <c:pt idx="7">
                    <c:v>Nov</c:v>
                  </c:pt>
                  <c:pt idx="8">
                    <c:v>Jan</c:v>
                  </c:pt>
                  <c:pt idx="9">
                    <c:v>Feb</c:v>
                  </c:pt>
                  <c:pt idx="10">
                    <c:v>Mar</c:v>
                  </c:pt>
                  <c:pt idx="11">
                    <c:v>Apr</c:v>
                  </c:pt>
                  <c:pt idx="12">
                    <c:v>Jun</c:v>
                  </c:pt>
                  <c:pt idx="13">
                    <c:v>Jul</c:v>
                  </c:pt>
                  <c:pt idx="14">
                    <c:v>Sep</c:v>
                  </c:pt>
                  <c:pt idx="15">
                    <c:v>Nov</c:v>
                  </c:pt>
                  <c:pt idx="16">
                    <c:v>Dec</c:v>
                  </c:pt>
                  <c:pt idx="17">
                    <c:v>Jan</c:v>
                  </c:pt>
                </c:lvl>
                <c:lvl>
                  <c:pt idx="0">
                    <c:v>2023</c:v>
                  </c:pt>
                  <c:pt idx="8">
                    <c:v>2024</c:v>
                  </c:pt>
                  <c:pt idx="17">
                    <c:v>2025</c:v>
                  </c:pt>
                </c:lvl>
              </c:multiLvlStrCache>
            </c:multiLvlStrRef>
          </c:cat>
          <c:val>
            <c:numRef>
              <c:f>TotalSalesLaptopPro!$C$6:$C$24</c:f>
              <c:numCache>
                <c:formatCode>"Rp"#,##0</c:formatCode>
                <c:ptCount val="18"/>
                <c:pt idx="0">
                  <c:v>22500000</c:v>
                </c:pt>
                <c:pt idx="1">
                  <c:v>11250000</c:v>
                </c:pt>
                <c:pt idx="2">
                  <c:v>25000000</c:v>
                </c:pt>
                <c:pt idx="3">
                  <c:v>22500000</c:v>
                </c:pt>
                <c:pt idx="4">
                  <c:v>25000000</c:v>
                </c:pt>
                <c:pt idx="5">
                  <c:v>11250000</c:v>
                </c:pt>
                <c:pt idx="6">
                  <c:v>12500000</c:v>
                </c:pt>
                <c:pt idx="7">
                  <c:v>11250000</c:v>
                </c:pt>
                <c:pt idx="8">
                  <c:v>11250000</c:v>
                </c:pt>
                <c:pt idx="9">
                  <c:v>12500000</c:v>
                </c:pt>
                <c:pt idx="10">
                  <c:v>11250000</c:v>
                </c:pt>
                <c:pt idx="11">
                  <c:v>12500000</c:v>
                </c:pt>
                <c:pt idx="12">
                  <c:v>12500000</c:v>
                </c:pt>
                <c:pt idx="13">
                  <c:v>11250000</c:v>
                </c:pt>
                <c:pt idx="14">
                  <c:v>23750000</c:v>
                </c:pt>
                <c:pt idx="15">
                  <c:v>11250000</c:v>
                </c:pt>
                <c:pt idx="16">
                  <c:v>12500000</c:v>
                </c:pt>
                <c:pt idx="17">
                  <c:v>22500000</c:v>
                </c:pt>
              </c:numCache>
            </c:numRef>
          </c:val>
          <c:smooth val="0"/>
          <c:extLst>
            <c:ext xmlns:c16="http://schemas.microsoft.com/office/drawing/2014/chart" uri="{C3380CC4-5D6E-409C-BE32-E72D297353CC}">
              <c16:uniqueId val="{00000000-A420-4C4E-972D-2C7F8CD5AF8F}"/>
            </c:ext>
          </c:extLst>
        </c:ser>
        <c:dLbls>
          <c:showLegendKey val="0"/>
          <c:showVal val="0"/>
          <c:showCatName val="0"/>
          <c:showSerName val="0"/>
          <c:showPercent val="0"/>
          <c:showBubbleSize val="0"/>
        </c:dLbls>
        <c:marker val="1"/>
        <c:smooth val="0"/>
        <c:axId val="1136029487"/>
        <c:axId val="1011588175"/>
      </c:lineChart>
      <c:catAx>
        <c:axId val="1136029487"/>
        <c:scaling>
          <c:orientation val="minMax"/>
        </c:scaling>
        <c:delete val="0"/>
        <c:axPos val="b"/>
        <c:numFmt formatCode="m/d/yyyy"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crossAx val="1011588175"/>
        <c:crosses val="autoZero"/>
        <c:auto val="1"/>
        <c:lblAlgn val="ctr"/>
        <c:lblOffset val="100"/>
        <c:noMultiLvlLbl val="0"/>
      </c:catAx>
      <c:valAx>
        <c:axId val="1011588175"/>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crossAx val="113602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F1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[Study Case 1.xlsx]TotalSalesMouse!TotalSales</c:name>
    <c:fmtId val="22"/>
  </c:pivotSource>
  <c:chart>
    <c:title>
      <c:tx>
        <c:rich>
          <a:bodyPr rot="0" spcFirstLastPara="1" vertOverflow="ellipsis" vert="horz" wrap="square" anchor="ctr" anchorCtr="1"/>
          <a:lstStyle/>
          <a:p>
            <a:pPr>
              <a:defRPr sz="1100" b="1" i="0" u="none" strike="noStrike" kern="1200" spc="0" baseline="0">
                <a:solidFill>
                  <a:srgbClr val="023047"/>
                </a:solidFill>
                <a:latin typeface="Poppins" panose="00000500000000000000" pitchFamily="2" charset="0"/>
                <a:ea typeface="+mn-ea"/>
                <a:cs typeface="Poppins" panose="00000500000000000000" pitchFamily="2" charset="0"/>
              </a:defRPr>
            </a:pPr>
            <a:r>
              <a:rPr lang="en-US" sz="1100" b="1">
                <a:solidFill>
                  <a:srgbClr val="023047"/>
                </a:solidFill>
                <a:latin typeface="Poppins" panose="00000500000000000000" pitchFamily="2" charset="0"/>
                <a:cs typeface="Poppins" panose="00000500000000000000" pitchFamily="2" charset="0"/>
              </a:rPr>
              <a:t>Total Penjualan Mouse Wireless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23047"/>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219EBC"/>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TotalSalesMouse!$C$4:$C$5</c:f>
              <c:strCache>
                <c:ptCount val="1"/>
                <c:pt idx="0">
                  <c:v>Mouse Wireless</c:v>
                </c:pt>
              </c:strCache>
            </c:strRef>
          </c:tx>
          <c:spPr>
            <a:ln w="28575" cap="rnd">
              <a:solidFill>
                <a:srgbClr val="219EBC"/>
              </a:solidFill>
              <a:round/>
            </a:ln>
            <a:effectLst/>
          </c:spPr>
          <c:marker>
            <c:symbol val="circle"/>
            <c:size val="5"/>
            <c:spPr>
              <a:solidFill>
                <a:schemeClr val="accent1"/>
              </a:solidFill>
              <a:ln w="9525">
                <a:solidFill>
                  <a:schemeClr val="accent1"/>
                </a:solidFill>
              </a:ln>
              <a:effectLst/>
            </c:spPr>
          </c:marker>
          <c:cat>
            <c:multiLvlStrRef>
              <c:f>TotalSalesMouse!$A$6:$B$25</c:f>
              <c:multiLvlStrCache>
                <c:ptCount val="19"/>
                <c:lvl>
                  <c:pt idx="0">
                    <c:v>Jan</c:v>
                  </c:pt>
                  <c:pt idx="1">
                    <c:v>Feb</c:v>
                  </c:pt>
                  <c:pt idx="2">
                    <c:v>Apr</c:v>
                  </c:pt>
                  <c:pt idx="3">
                    <c:v>May</c:v>
                  </c:pt>
                  <c:pt idx="4">
                    <c:v>Jun</c:v>
                  </c:pt>
                  <c:pt idx="5">
                    <c:v>Jul</c:v>
                  </c:pt>
                  <c:pt idx="6">
                    <c:v>Sep</c:v>
                  </c:pt>
                  <c:pt idx="7">
                    <c:v>Oct</c:v>
                  </c:pt>
                  <c:pt idx="8">
                    <c:v>Nov</c:v>
                  </c:pt>
                  <c:pt idx="9">
                    <c:v>Dec</c:v>
                  </c:pt>
                  <c:pt idx="10">
                    <c:v>Feb</c:v>
                  </c:pt>
                  <c:pt idx="11">
                    <c:v>Mar</c:v>
                  </c:pt>
                  <c:pt idx="12">
                    <c:v>Apr</c:v>
                  </c:pt>
                  <c:pt idx="13">
                    <c:v>May</c:v>
                  </c:pt>
                  <c:pt idx="14">
                    <c:v>Jul</c:v>
                  </c:pt>
                  <c:pt idx="15">
                    <c:v>Sep</c:v>
                  </c:pt>
                  <c:pt idx="16">
                    <c:v>Oct</c:v>
                  </c:pt>
                  <c:pt idx="17">
                    <c:v>Dec</c:v>
                  </c:pt>
                  <c:pt idx="18">
                    <c:v>Jan</c:v>
                  </c:pt>
                </c:lvl>
                <c:lvl>
                  <c:pt idx="0">
                    <c:v>2023</c:v>
                  </c:pt>
                  <c:pt idx="10">
                    <c:v>2024</c:v>
                  </c:pt>
                  <c:pt idx="18">
                    <c:v>2025</c:v>
                  </c:pt>
                </c:lvl>
              </c:multiLvlStrCache>
            </c:multiLvlStrRef>
          </c:cat>
          <c:val>
            <c:numRef>
              <c:f>TotalSalesMouse!$C$6:$C$25</c:f>
              <c:numCache>
                <c:formatCode>"Rp"#,##0</c:formatCode>
                <c:ptCount val="19"/>
                <c:pt idx="0">
                  <c:v>150000</c:v>
                </c:pt>
                <c:pt idx="1">
                  <c:v>150000</c:v>
                </c:pt>
                <c:pt idx="2">
                  <c:v>450000</c:v>
                </c:pt>
                <c:pt idx="3">
                  <c:v>450000</c:v>
                </c:pt>
                <c:pt idx="4">
                  <c:v>450000</c:v>
                </c:pt>
                <c:pt idx="5">
                  <c:v>1350000</c:v>
                </c:pt>
                <c:pt idx="6">
                  <c:v>750000</c:v>
                </c:pt>
                <c:pt idx="7">
                  <c:v>600000</c:v>
                </c:pt>
                <c:pt idx="8">
                  <c:v>300000</c:v>
                </c:pt>
                <c:pt idx="9">
                  <c:v>600000</c:v>
                </c:pt>
                <c:pt idx="10">
                  <c:v>600000</c:v>
                </c:pt>
                <c:pt idx="11">
                  <c:v>750000</c:v>
                </c:pt>
                <c:pt idx="12">
                  <c:v>600000</c:v>
                </c:pt>
                <c:pt idx="13">
                  <c:v>300000</c:v>
                </c:pt>
                <c:pt idx="14">
                  <c:v>450000</c:v>
                </c:pt>
                <c:pt idx="15">
                  <c:v>1200000</c:v>
                </c:pt>
                <c:pt idx="16">
                  <c:v>750000</c:v>
                </c:pt>
                <c:pt idx="17">
                  <c:v>600000</c:v>
                </c:pt>
                <c:pt idx="18">
                  <c:v>600000</c:v>
                </c:pt>
              </c:numCache>
            </c:numRef>
          </c:val>
          <c:smooth val="0"/>
          <c:extLst>
            <c:ext xmlns:c16="http://schemas.microsoft.com/office/drawing/2014/chart" uri="{C3380CC4-5D6E-409C-BE32-E72D297353CC}">
              <c16:uniqueId val="{00000000-8269-4B57-A0E3-AA6D50C78145}"/>
            </c:ext>
          </c:extLst>
        </c:ser>
        <c:dLbls>
          <c:showLegendKey val="0"/>
          <c:showVal val="0"/>
          <c:showCatName val="0"/>
          <c:showSerName val="0"/>
          <c:showPercent val="0"/>
          <c:showBubbleSize val="0"/>
        </c:dLbls>
        <c:marker val="1"/>
        <c:smooth val="0"/>
        <c:axId val="1136029487"/>
        <c:axId val="1011588175"/>
      </c:lineChart>
      <c:catAx>
        <c:axId val="1136029487"/>
        <c:scaling>
          <c:orientation val="minMax"/>
        </c:scaling>
        <c:delete val="0"/>
        <c:axPos val="b"/>
        <c:numFmt formatCode="m/d/yyyy"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crossAx val="1011588175"/>
        <c:crosses val="autoZero"/>
        <c:auto val="1"/>
        <c:lblAlgn val="ctr"/>
        <c:lblOffset val="100"/>
        <c:noMultiLvlLbl val="0"/>
      </c:catAx>
      <c:valAx>
        <c:axId val="1011588175"/>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crossAx val="113602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F1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[Study Case 1.xlsx]CategorySales!TotalSales</c:name>
    <c:fmtId val="26"/>
  </c:pivotSource>
  <c:chart>
    <c:title>
      <c:tx>
        <c:rich>
          <a:bodyPr rot="0" spcFirstLastPara="1" vertOverflow="ellipsis" vert="horz" wrap="square" anchor="ctr" anchorCtr="1"/>
          <a:lstStyle/>
          <a:p>
            <a:pPr>
              <a:defRPr sz="1400" b="0" i="0" u="none" strike="noStrike" kern="1200" spc="0" baseline="0">
                <a:solidFill>
                  <a:srgbClr val="023047"/>
                </a:solidFill>
                <a:latin typeface="+mn-lt"/>
                <a:ea typeface="+mn-ea"/>
                <a:cs typeface="+mn-cs"/>
              </a:defRPr>
            </a:pPr>
            <a:r>
              <a:rPr lang="en-US" sz="1100" b="1">
                <a:solidFill>
                  <a:srgbClr val="023047"/>
                </a:solidFill>
                <a:latin typeface="Poppins" panose="00000500000000000000" pitchFamily="2" charset="0"/>
                <a:cs typeface="Poppins" panose="00000500000000000000" pitchFamily="2" charset="0"/>
              </a:rPr>
              <a:t>Total Penjualan Per Kategori</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3047"/>
              </a:solidFill>
              <a:latin typeface="+mn-lt"/>
              <a:ea typeface="+mn-ea"/>
              <a:cs typeface="+mn-cs"/>
            </a:defRPr>
          </a:pPr>
          <a:endParaRPr lang="en-US"/>
        </a:p>
      </c:txPr>
    </c:title>
    <c:autoTitleDeleted val="0"/>
    <c:pivotFmts>
      <c:pivotFmt>
        <c:idx val="0"/>
        <c:spPr>
          <a:solidFill>
            <a:srgbClr val="FB85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B703"/>
          </a:solidFill>
          <a:ln w="19050">
            <a:solidFill>
              <a:schemeClr val="lt1"/>
            </a:solidFill>
          </a:ln>
          <a:effectLst/>
        </c:spPr>
      </c:pivotFmt>
      <c:pivotFmt>
        <c:idx val="2"/>
        <c:spPr>
          <a:solidFill>
            <a:srgbClr val="FB8500"/>
          </a:solidFill>
          <a:ln w="19050">
            <a:solidFill>
              <a:schemeClr val="lt1"/>
            </a:solidFill>
          </a:ln>
          <a:effectLst/>
        </c:spPr>
      </c:pivotFmt>
      <c:pivotFmt>
        <c:idx val="3"/>
        <c:spPr>
          <a:solidFill>
            <a:srgbClr val="FB85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B703"/>
          </a:solidFill>
          <a:ln w="19050">
            <a:solidFill>
              <a:schemeClr val="lt1"/>
            </a:solidFill>
          </a:ln>
          <a:effectLst/>
        </c:spPr>
      </c:pivotFmt>
      <c:pivotFmt>
        <c:idx val="5"/>
        <c:spPr>
          <a:solidFill>
            <a:srgbClr val="FB8500"/>
          </a:solidFill>
          <a:ln w="19050">
            <a:solidFill>
              <a:schemeClr val="lt1"/>
            </a:solidFill>
          </a:ln>
          <a:effectLst/>
        </c:spPr>
      </c:pivotFmt>
      <c:pivotFmt>
        <c:idx val="6"/>
        <c:spPr>
          <a:solidFill>
            <a:srgbClr val="FB85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B703"/>
          </a:solidFill>
          <a:ln w="19050">
            <a:solidFill>
              <a:schemeClr val="lt1"/>
            </a:solidFill>
          </a:ln>
          <a:effectLst/>
        </c:spPr>
      </c:pivotFmt>
      <c:pivotFmt>
        <c:idx val="8"/>
        <c:spPr>
          <a:solidFill>
            <a:srgbClr val="FB8500"/>
          </a:solidFill>
          <a:ln w="19050">
            <a:solidFill>
              <a:schemeClr val="lt1"/>
            </a:solidFill>
          </a:ln>
          <a:effectLst/>
        </c:spPr>
      </c:pivotFmt>
    </c:pivotFmts>
    <c:plotArea>
      <c:layout/>
      <c:pieChart>
        <c:varyColors val="1"/>
        <c:ser>
          <c:idx val="0"/>
          <c:order val="0"/>
          <c:tx>
            <c:strRef>
              <c:f>CategorySales!$B$4</c:f>
              <c:strCache>
                <c:ptCount val="1"/>
                <c:pt idx="0">
                  <c:v>Total</c:v>
                </c:pt>
              </c:strCache>
            </c:strRef>
          </c:tx>
          <c:spPr>
            <a:solidFill>
              <a:srgbClr val="FB8500"/>
            </a:solidFill>
          </c:spPr>
          <c:dPt>
            <c:idx val="0"/>
            <c:bubble3D val="0"/>
            <c:spPr>
              <a:solidFill>
                <a:srgbClr val="FFB703"/>
              </a:solidFill>
              <a:ln w="19050">
                <a:solidFill>
                  <a:schemeClr val="lt1"/>
                </a:solidFill>
              </a:ln>
              <a:effectLst/>
            </c:spPr>
            <c:extLst>
              <c:ext xmlns:c16="http://schemas.microsoft.com/office/drawing/2014/chart" uri="{C3380CC4-5D6E-409C-BE32-E72D297353CC}">
                <c16:uniqueId val="{00000001-2D2E-4D62-8BCA-AC546B82062D}"/>
              </c:ext>
            </c:extLst>
          </c:dPt>
          <c:dPt>
            <c:idx val="1"/>
            <c:bubble3D val="0"/>
            <c:spPr>
              <a:solidFill>
                <a:srgbClr val="FB8500"/>
              </a:solidFill>
              <a:ln w="19050">
                <a:solidFill>
                  <a:schemeClr val="lt1"/>
                </a:solidFill>
              </a:ln>
              <a:effectLst/>
            </c:spPr>
            <c:extLst>
              <c:ext xmlns:c16="http://schemas.microsoft.com/office/drawing/2014/chart" uri="{C3380CC4-5D6E-409C-BE32-E72D297353CC}">
                <c16:uniqueId val="{00000003-2D2E-4D62-8BCA-AC546B82062D}"/>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CategorySales!$A$5:$A$6</c:f>
              <c:strCache>
                <c:ptCount val="2"/>
                <c:pt idx="0">
                  <c:v>Aksesoris</c:v>
                </c:pt>
                <c:pt idx="1">
                  <c:v>Komputer</c:v>
                </c:pt>
              </c:strCache>
            </c:strRef>
          </c:cat>
          <c:val>
            <c:numRef>
              <c:f>CategorySales!$B$5:$B$6</c:f>
              <c:numCache>
                <c:formatCode>"Rp"#,##0</c:formatCode>
                <c:ptCount val="2"/>
                <c:pt idx="0">
                  <c:v>35060000</c:v>
                </c:pt>
                <c:pt idx="1">
                  <c:v>345500000</c:v>
                </c:pt>
              </c:numCache>
            </c:numRef>
          </c:val>
          <c:extLst>
            <c:ext xmlns:c16="http://schemas.microsoft.com/office/drawing/2014/chart" uri="{C3380CC4-5D6E-409C-BE32-E72D297353CC}">
              <c16:uniqueId val="{00000004-2D2E-4D62-8BCA-AC546B82062D}"/>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F1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[Study Case 1.xlsx]Top5Sales!TotalSales</c:name>
    <c:fmtId val="29"/>
  </c:pivotSource>
  <c:chart>
    <c:title>
      <c:tx>
        <c:rich>
          <a:bodyPr rot="0" spcFirstLastPara="1" vertOverflow="ellipsis" vert="horz" wrap="square" anchor="ctr" anchorCtr="1"/>
          <a:lstStyle/>
          <a:p>
            <a:pPr>
              <a:defRPr sz="1400" b="0" i="0" u="none" strike="noStrike" kern="1200" spc="0" baseline="0">
                <a:solidFill>
                  <a:srgbClr val="023047"/>
                </a:solidFill>
                <a:latin typeface="+mn-lt"/>
                <a:ea typeface="+mn-ea"/>
                <a:cs typeface="+mn-cs"/>
              </a:defRPr>
            </a:pPr>
            <a:r>
              <a:rPr lang="en-US" sz="1100" b="1">
                <a:solidFill>
                  <a:srgbClr val="023047"/>
                </a:solidFill>
                <a:latin typeface="Poppins" panose="00000500000000000000" pitchFamily="2" charset="0"/>
                <a:cs typeface="Poppins" panose="00000500000000000000" pitchFamily="2" charset="0"/>
              </a:rPr>
              <a:t>Top 5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3047"/>
              </a:solidFill>
              <a:latin typeface="+mn-lt"/>
              <a:ea typeface="+mn-ea"/>
              <a:cs typeface="+mn-cs"/>
            </a:defRPr>
          </a:pPr>
          <a:endParaRPr lang="en-US"/>
        </a:p>
      </c:txPr>
    </c:title>
    <c:autoTitleDeleted val="0"/>
    <c:pivotFmts>
      <c:pivotFmt>
        <c:idx val="0"/>
        <c:spPr>
          <a:solidFill>
            <a:srgbClr val="FB8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304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B8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304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B8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304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Top5Sales!$B$4</c:f>
              <c:strCache>
                <c:ptCount val="1"/>
                <c:pt idx="0">
                  <c:v>Total</c:v>
                </c:pt>
              </c:strCache>
            </c:strRef>
          </c:tx>
          <c:spPr>
            <a:solidFill>
              <a:srgbClr val="FB8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304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Top5Sales!$A$5:$A$9</c:f>
              <c:strCache>
                <c:ptCount val="5"/>
                <c:pt idx="0">
                  <c:v>Budi Santoso</c:v>
                </c:pt>
                <c:pt idx="1">
                  <c:v>Dewi Lestari</c:v>
                </c:pt>
                <c:pt idx="2">
                  <c:v>Eko Prasetyo</c:v>
                </c:pt>
                <c:pt idx="3">
                  <c:v>Nina Herlina</c:v>
                </c:pt>
                <c:pt idx="4">
                  <c:v>Umay Shahab</c:v>
                </c:pt>
              </c:strCache>
            </c:strRef>
          </c:cat>
          <c:val>
            <c:numRef>
              <c:f>Top5Sales!$B$5:$B$9</c:f>
              <c:numCache>
                <c:formatCode>"Rp"#,##0</c:formatCode>
                <c:ptCount val="5"/>
                <c:pt idx="0">
                  <c:v>24990000</c:v>
                </c:pt>
                <c:pt idx="1">
                  <c:v>25830000</c:v>
                </c:pt>
                <c:pt idx="2">
                  <c:v>27630000</c:v>
                </c:pt>
                <c:pt idx="3">
                  <c:v>30575000</c:v>
                </c:pt>
                <c:pt idx="4">
                  <c:v>24950000</c:v>
                </c:pt>
              </c:numCache>
            </c:numRef>
          </c:val>
          <c:extLst>
            <c:ext xmlns:c16="http://schemas.microsoft.com/office/drawing/2014/chart" uri="{C3380CC4-5D6E-409C-BE32-E72D297353CC}">
              <c16:uniqueId val="{00000000-FFE0-457B-8C41-ADB6F7B93143}"/>
            </c:ext>
          </c:extLst>
        </c:ser>
        <c:dLbls>
          <c:showLegendKey val="0"/>
          <c:showVal val="0"/>
          <c:showCatName val="0"/>
          <c:showSerName val="0"/>
          <c:showPercent val="0"/>
          <c:showBubbleSize val="0"/>
        </c:dLbls>
        <c:gapWidth val="219"/>
        <c:overlap val="-27"/>
        <c:axId val="1512403135"/>
        <c:axId val="1382300687"/>
      </c:barChart>
      <c:catAx>
        <c:axId val="151240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crossAx val="1382300687"/>
        <c:crosses val="autoZero"/>
        <c:auto val="1"/>
        <c:lblAlgn val="ctr"/>
        <c:lblOffset val="100"/>
        <c:noMultiLvlLbl val="0"/>
      </c:catAx>
      <c:valAx>
        <c:axId val="1382300687"/>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crossAx val="1512403135"/>
        <c:crosses val="autoZero"/>
        <c:crossBetween val="between"/>
        <c:dispUnits>
          <c:builtInUnit val="millions"/>
          <c:dispUnitsLbl>
            <c:layout>
              <c:manualLayout>
                <c:xMode val="edge"/>
                <c:yMode val="edge"/>
                <c:x val="1.1859864700791933E-2"/>
                <c:y val="0.50137555019815461"/>
              </c:manualLayout>
            </c:layout>
            <c:tx>
              <c:rich>
                <a:bodyPr rot="-5400000" spcFirstLastPara="1" vertOverflow="ellipsis" vert="horz" wrap="square" anchor="ctr" anchorCtr="1"/>
                <a:lstStyle/>
                <a:p>
                  <a:pPr>
                    <a:defRPr sz="1000" b="0" i="0" u="none" strike="noStrike" kern="1200" baseline="0">
                      <a:solidFill>
                        <a:srgbClr val="023047"/>
                      </a:solidFill>
                      <a:latin typeface="+mn-lt"/>
                      <a:ea typeface="+mn-ea"/>
                      <a:cs typeface="+mn-cs"/>
                    </a:defRPr>
                  </a:pPr>
                  <a:r>
                    <a:rPr lang="en-ID" sz="800" b="1">
                      <a:solidFill>
                        <a:srgbClr val="023047"/>
                      </a:solidFill>
                      <a:latin typeface="Poppins" panose="00000500000000000000" pitchFamily="2" charset="0"/>
                      <a:cs typeface="Poppins" panose="00000500000000000000" pitchFamily="2" charset="0"/>
                    </a:rPr>
                    <a:t>Juta</a:t>
                  </a:r>
                </a:p>
              </c:rich>
            </c:tx>
            <c:spPr>
              <a:noFill/>
              <a:ln>
                <a:noFill/>
              </a:ln>
              <a:effectLst/>
            </c:spPr>
            <c:txPr>
              <a:bodyPr rot="-5400000" spcFirstLastPara="1" vertOverflow="ellipsis" vert="horz" wrap="square" anchor="ctr" anchorCtr="1"/>
              <a:lstStyle/>
              <a:p>
                <a:pPr>
                  <a:defRPr sz="1000" b="0" i="0" u="none" strike="noStrike" kern="1200" baseline="0">
                    <a:solidFill>
                      <a:srgbClr val="023047"/>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023047"/>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F1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8044</xdr:rowOff>
    </xdr:from>
    <xdr:to>
      <xdr:col>8</xdr:col>
      <xdr:colOff>8283</xdr:colOff>
      <xdr:row>28</xdr:row>
      <xdr:rowOff>0</xdr:rowOff>
    </xdr:to>
    <xdr:graphicFrame macro="">
      <xdr:nvGraphicFramePr>
        <xdr:cNvPr id="2" name="Chart 1">
          <a:extLst>
            <a:ext uri="{FF2B5EF4-FFF2-40B4-BE49-F238E27FC236}">
              <a16:creationId xmlns:a16="http://schemas.microsoft.com/office/drawing/2014/main" id="{7D88FCB6-6656-4D50-A328-5B4D4A476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10570</xdr:colOff>
      <xdr:row>14</xdr:row>
      <xdr:rowOff>6730</xdr:rowOff>
    </xdr:from>
    <xdr:to>
      <xdr:col>27</xdr:col>
      <xdr:colOff>0</xdr:colOff>
      <xdr:row>28</xdr:row>
      <xdr:rowOff>1</xdr:rowOff>
    </xdr:to>
    <xdr:graphicFrame macro="">
      <xdr:nvGraphicFramePr>
        <xdr:cNvPr id="3" name="Chart 2">
          <a:extLst>
            <a:ext uri="{FF2B5EF4-FFF2-40B4-BE49-F238E27FC236}">
              <a16:creationId xmlns:a16="http://schemas.microsoft.com/office/drawing/2014/main" id="{267644BA-45AE-4762-A095-2ED56566E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2082</xdr:rowOff>
    </xdr:from>
    <xdr:to>
      <xdr:col>8</xdr:col>
      <xdr:colOff>0</xdr:colOff>
      <xdr:row>43</xdr:row>
      <xdr:rowOff>8282</xdr:rowOff>
    </xdr:to>
    <xdr:graphicFrame macro="">
      <xdr:nvGraphicFramePr>
        <xdr:cNvPr id="4" name="Chart 3">
          <a:extLst>
            <a:ext uri="{FF2B5EF4-FFF2-40B4-BE49-F238E27FC236}">
              <a16:creationId xmlns:a16="http://schemas.microsoft.com/office/drawing/2014/main" id="{38BB8B3B-C43F-4CA6-B9DC-D88973E59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13298</xdr:colOff>
      <xdr:row>28</xdr:row>
      <xdr:rowOff>51289</xdr:rowOff>
    </xdr:from>
    <xdr:to>
      <xdr:col>17</xdr:col>
      <xdr:colOff>0</xdr:colOff>
      <xdr:row>43</xdr:row>
      <xdr:rowOff>1</xdr:rowOff>
    </xdr:to>
    <xdr:graphicFrame macro="">
      <xdr:nvGraphicFramePr>
        <xdr:cNvPr id="5" name="Chart 4">
          <a:extLst>
            <a:ext uri="{FF2B5EF4-FFF2-40B4-BE49-F238E27FC236}">
              <a16:creationId xmlns:a16="http://schemas.microsoft.com/office/drawing/2014/main" id="{CB55119B-0C2E-4831-A806-CB2D36133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7262</xdr:colOff>
      <xdr:row>13</xdr:row>
      <xdr:rowOff>48782</xdr:rowOff>
    </xdr:from>
    <xdr:to>
      <xdr:col>16</xdr:col>
      <xdr:colOff>598714</xdr:colOff>
      <xdr:row>27</xdr:row>
      <xdr:rowOff>182217</xdr:rowOff>
    </xdr:to>
    <xdr:graphicFrame macro="">
      <xdr:nvGraphicFramePr>
        <xdr:cNvPr id="6" name="Chart 5">
          <a:extLst>
            <a:ext uri="{FF2B5EF4-FFF2-40B4-BE49-F238E27FC236}">
              <a16:creationId xmlns:a16="http://schemas.microsoft.com/office/drawing/2014/main" id="{972E1C0F-A6D8-48D0-9ACC-2A1999219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xdr:row>
      <xdr:rowOff>6309</xdr:rowOff>
    </xdr:from>
    <xdr:to>
      <xdr:col>16</xdr:col>
      <xdr:colOff>601265</xdr:colOff>
      <xdr:row>12</xdr:row>
      <xdr:rowOff>179614</xdr:rowOff>
    </xdr:to>
    <mc:AlternateContent xmlns:mc="http://schemas.openxmlformats.org/markup-compatibility/2006">
      <mc:Choice xmlns:tsle="http://schemas.microsoft.com/office/drawing/2012/timeslicer" Requires="tsle">
        <xdr:graphicFrame macro="">
          <xdr:nvGraphicFramePr>
            <xdr:cNvPr id="7" name="Tanggal Beli 3">
              <a:extLst>
                <a:ext uri="{FF2B5EF4-FFF2-40B4-BE49-F238E27FC236}">
                  <a16:creationId xmlns:a16="http://schemas.microsoft.com/office/drawing/2014/main" id="{A6BFA5F0-240E-4745-AD1F-056E4FD4FCDE}"/>
                </a:ext>
              </a:extLst>
            </xdr:cNvPr>
            <xdr:cNvGraphicFramePr/>
          </xdr:nvGraphicFramePr>
          <xdr:xfrm>
            <a:off x="0" y="0"/>
            <a:ext cx="0" cy="0"/>
          </xdr:xfrm>
          <a:graphic>
            <a:graphicData uri="http://schemas.microsoft.com/office/drawing/2012/timeslicer">
              <tsle:timeslicer xmlns:tsle="http://schemas.microsoft.com/office/drawing/2012/timeslicer" name="Tanggal Beli 3"/>
            </a:graphicData>
          </a:graphic>
        </xdr:graphicFrame>
      </mc:Choice>
      <mc:Fallback>
        <xdr:sp macro="" textlink="">
          <xdr:nvSpPr>
            <xdr:cNvPr id="0" name=""/>
            <xdr:cNvSpPr>
              <a:spLocks noTextEdit="1"/>
            </xdr:cNvSpPr>
          </xdr:nvSpPr>
          <xdr:spPr>
            <a:xfrm>
              <a:off x="0" y="1006434"/>
              <a:ext cx="9959578" cy="1316305"/>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18</xdr:col>
      <xdr:colOff>0</xdr:colOff>
      <xdr:row>6</xdr:row>
      <xdr:rowOff>12007</xdr:rowOff>
    </xdr:from>
    <xdr:to>
      <xdr:col>22</xdr:col>
      <xdr:colOff>5092</xdr:colOff>
      <xdr:row>13</xdr:row>
      <xdr:rowOff>0</xdr:rowOff>
    </xdr:to>
    <mc:AlternateContent xmlns:mc="http://schemas.openxmlformats.org/markup-compatibility/2006">
      <mc:Choice xmlns:a14="http://schemas.microsoft.com/office/drawing/2010/main" Requires="a14">
        <xdr:graphicFrame macro="">
          <xdr:nvGraphicFramePr>
            <xdr:cNvPr id="9" name="Member">
              <a:extLst>
                <a:ext uri="{FF2B5EF4-FFF2-40B4-BE49-F238E27FC236}">
                  <a16:creationId xmlns:a16="http://schemas.microsoft.com/office/drawing/2014/main" id="{2B6AC4DC-D735-4DF6-A2AF-069E34A41C2A}"/>
                </a:ext>
              </a:extLst>
            </xdr:cNvPr>
            <xdr:cNvGraphicFramePr/>
          </xdr:nvGraphicFramePr>
          <xdr:xfrm>
            <a:off x="0" y="0"/>
            <a:ext cx="0" cy="0"/>
          </xdr:xfrm>
          <a:graphic>
            <a:graphicData uri="http://schemas.microsoft.com/office/drawing/2010/slicer">
              <sle:slicer xmlns:sle="http://schemas.microsoft.com/office/drawing/2010/slicer" name="Member"/>
            </a:graphicData>
          </a:graphic>
        </xdr:graphicFrame>
      </mc:Choice>
      <mc:Fallback>
        <xdr:sp macro="" textlink="">
          <xdr:nvSpPr>
            <xdr:cNvPr id="0" name=""/>
            <xdr:cNvSpPr>
              <a:spLocks noTextEdit="1"/>
            </xdr:cNvSpPr>
          </xdr:nvSpPr>
          <xdr:spPr>
            <a:xfrm>
              <a:off x="10048875" y="1012132"/>
              <a:ext cx="2481592" cy="132149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18999</xdr:colOff>
      <xdr:row>6</xdr:row>
      <xdr:rowOff>0</xdr:rowOff>
    </xdr:from>
    <xdr:to>
      <xdr:col>27</xdr:col>
      <xdr:colOff>14614</xdr:colOff>
      <xdr:row>12</xdr:row>
      <xdr:rowOff>184439</xdr:rowOff>
    </xdr:to>
    <mc:AlternateContent xmlns:mc="http://schemas.openxmlformats.org/markup-compatibility/2006">
      <mc:Choice xmlns:a14="http://schemas.microsoft.com/office/drawing/2010/main" Requires="a14">
        <xdr:graphicFrame macro="">
          <xdr:nvGraphicFramePr>
            <xdr:cNvPr id="10" name="Status Diskon">
              <a:extLst>
                <a:ext uri="{FF2B5EF4-FFF2-40B4-BE49-F238E27FC236}">
                  <a16:creationId xmlns:a16="http://schemas.microsoft.com/office/drawing/2014/main" id="{16B3E830-8749-4F7C-9C7A-0038D59A6494}"/>
                </a:ext>
              </a:extLst>
            </xdr:cNvPr>
            <xdr:cNvGraphicFramePr/>
          </xdr:nvGraphicFramePr>
          <xdr:xfrm>
            <a:off x="0" y="0"/>
            <a:ext cx="0" cy="0"/>
          </xdr:xfrm>
          <a:graphic>
            <a:graphicData uri="http://schemas.microsoft.com/office/drawing/2010/slicer">
              <sle:slicer xmlns:sle="http://schemas.microsoft.com/office/drawing/2010/slicer" name="Status Diskon"/>
            </a:graphicData>
          </a:graphic>
        </xdr:graphicFrame>
      </mc:Choice>
      <mc:Fallback>
        <xdr:sp macro="" textlink="">
          <xdr:nvSpPr>
            <xdr:cNvPr id="0" name=""/>
            <xdr:cNvSpPr>
              <a:spLocks noTextEdit="1"/>
            </xdr:cNvSpPr>
          </xdr:nvSpPr>
          <xdr:spPr>
            <a:xfrm>
              <a:off x="12615812" y="1000125"/>
              <a:ext cx="2472115" cy="13274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xdr:colOff>
      <xdr:row>29</xdr:row>
      <xdr:rowOff>9526</xdr:rowOff>
    </xdr:from>
    <xdr:to>
      <xdr:col>27</xdr:col>
      <xdr:colOff>0</xdr:colOff>
      <xdr:row>42</xdr:row>
      <xdr:rowOff>180976</xdr:rowOff>
    </xdr:to>
    <xdr:graphicFrame macro="">
      <xdr:nvGraphicFramePr>
        <xdr:cNvPr id="11" name="Chart 10">
          <a:extLst>
            <a:ext uri="{FF2B5EF4-FFF2-40B4-BE49-F238E27FC236}">
              <a16:creationId xmlns:a16="http://schemas.microsoft.com/office/drawing/2014/main" id="{CCB12F73-9E2B-4DFD-9A8F-F9562FA43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44</xdr:row>
      <xdr:rowOff>5458</xdr:rowOff>
    </xdr:from>
    <xdr:to>
      <xdr:col>17</xdr:col>
      <xdr:colOff>11204</xdr:colOff>
      <xdr:row>56</xdr:row>
      <xdr:rowOff>0</xdr:rowOff>
    </xdr:to>
    <xdr:graphicFrame macro="">
      <xdr:nvGraphicFramePr>
        <xdr:cNvPr id="12" name="Chart 11">
          <a:extLst>
            <a:ext uri="{FF2B5EF4-FFF2-40B4-BE49-F238E27FC236}">
              <a16:creationId xmlns:a16="http://schemas.microsoft.com/office/drawing/2014/main" id="{18AFE4BB-07DA-4C12-957C-963626378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dy\Documents\DATA%20ANALYST\MICROSOFT%20EXCEL\STUDY%20CASE\STUDY%20CASE%201\SC1%20-%20EXCEL.xlsx" TargetMode="External"/><Relationship Id="rId1" Type="http://schemas.openxmlformats.org/officeDocument/2006/relationships/externalLinkPath" Target="SC1%20-%20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Mentah"/>
      <sheetName val="Tabel Referensi"/>
      <sheetName val="Data Bersih"/>
      <sheetName val="Dashboard"/>
    </sheetNames>
    <sheetDataSet>
      <sheetData sheetId="0">
        <row r="1">
          <cell r="A1" t="str">
            <v>ID</v>
          </cell>
          <cell r="B1" t="str">
            <v>Nama Kasir</v>
          </cell>
          <cell r="C1" t="str">
            <v>Kode Produk</v>
          </cell>
          <cell r="D1" t="str">
            <v>Tanggal Beli</v>
          </cell>
          <cell r="E1" t="str">
            <v>Qty</v>
          </cell>
          <cell r="F1" t="str">
            <v>Member</v>
          </cell>
        </row>
        <row r="2">
          <cell r="A2" t="str">
            <v>TRX-001</v>
          </cell>
          <cell r="B2" t="str">
            <v>budi santoso</v>
          </cell>
          <cell r="C2" t="str">
            <v>P-01</v>
          </cell>
          <cell r="D2">
            <v>44938</v>
          </cell>
          <cell r="E2">
            <v>2</v>
          </cell>
          <cell r="F2" t="str">
            <v>Ya</v>
          </cell>
        </row>
        <row r="3">
          <cell r="A3" t="str">
            <v>TRX-002</v>
          </cell>
          <cell r="B3" t="str">
            <v>SITI AMINAH</v>
          </cell>
          <cell r="C3" t="str">
            <v>P-02</v>
          </cell>
          <cell r="D3">
            <v>44972</v>
          </cell>
          <cell r="E3">
            <v>1</v>
          </cell>
          <cell r="F3" t="str">
            <v>Tidak</v>
          </cell>
        </row>
        <row r="4">
          <cell r="A4" t="str">
            <v>TRX-003</v>
          </cell>
          <cell r="B4" t="str">
            <v>andi wijaya</v>
          </cell>
          <cell r="C4" t="str">
            <v>P-03</v>
          </cell>
          <cell r="D4">
            <v>44995</v>
          </cell>
          <cell r="E4">
            <v>3</v>
          </cell>
          <cell r="F4" t="str">
            <v>Ya</v>
          </cell>
        </row>
        <row r="5">
          <cell r="A5" t="str">
            <v>TRX-004</v>
          </cell>
          <cell r="B5" t="str">
            <v>dewi lestari</v>
          </cell>
          <cell r="C5" t="str">
            <v>P-01</v>
          </cell>
          <cell r="D5">
            <v>45021</v>
          </cell>
          <cell r="E5">
            <v>1</v>
          </cell>
          <cell r="F5" t="str">
            <v>Tidak</v>
          </cell>
        </row>
        <row r="6">
          <cell r="A6" t="str">
            <v>TRX-005</v>
          </cell>
          <cell r="B6" t="str">
            <v>Eko Prasetyo</v>
          </cell>
          <cell r="C6" t="str">
            <v>P-04</v>
          </cell>
          <cell r="D6">
            <v>45058</v>
          </cell>
          <cell r="E6">
            <v>2</v>
          </cell>
          <cell r="F6" t="str">
            <v>Ya</v>
          </cell>
        </row>
        <row r="7">
          <cell r="A7" t="str">
            <v>TRX-006</v>
          </cell>
          <cell r="B7" t="str">
            <v>Rina mr</v>
          </cell>
          <cell r="C7" t="str">
            <v>P-05</v>
          </cell>
          <cell r="D7">
            <v>45097</v>
          </cell>
          <cell r="E7">
            <v>5</v>
          </cell>
          <cell r="F7" t="str">
            <v>Tidak</v>
          </cell>
        </row>
        <row r="8">
          <cell r="A8" t="str">
            <v>TRX-007</v>
          </cell>
          <cell r="B8" t="str">
            <v>AGUS SUPRIYADI</v>
          </cell>
          <cell r="C8" t="str">
            <v>P-02</v>
          </cell>
          <cell r="D8">
            <v>45129</v>
          </cell>
          <cell r="E8">
            <v>10</v>
          </cell>
          <cell r="F8" t="str">
            <v>Ya</v>
          </cell>
        </row>
        <row r="9">
          <cell r="A9" t="str">
            <v>TRX-008</v>
          </cell>
          <cell r="B9" t="str">
            <v>nina herlina</v>
          </cell>
          <cell r="C9" t="str">
            <v>P-03</v>
          </cell>
          <cell r="D9">
            <v>45146</v>
          </cell>
          <cell r="E9">
            <v>2</v>
          </cell>
          <cell r="F9" t="str">
            <v>Tidak</v>
          </cell>
        </row>
        <row r="10">
          <cell r="A10" t="str">
            <v>TRX-009</v>
          </cell>
          <cell r="B10" t="str">
            <v>Doni Salmanan</v>
          </cell>
          <cell r="C10" t="str">
            <v>P-04</v>
          </cell>
          <cell r="D10">
            <v>45183</v>
          </cell>
          <cell r="E10">
            <v>1</v>
          </cell>
          <cell r="F10" t="str">
            <v>Ya</v>
          </cell>
        </row>
        <row r="11">
          <cell r="A11" t="str">
            <v>TRX-010</v>
          </cell>
          <cell r="B11" t="str">
            <v>Fajar Nugraha</v>
          </cell>
          <cell r="C11" t="str">
            <v>P-05</v>
          </cell>
          <cell r="D11">
            <v>45200</v>
          </cell>
          <cell r="E11">
            <v>3</v>
          </cell>
          <cell r="F11" t="str">
            <v>Tidak</v>
          </cell>
        </row>
        <row r="12">
          <cell r="A12" t="str">
            <v>TRX-011</v>
          </cell>
          <cell r="B12" t="str">
            <v>GINA sonia</v>
          </cell>
          <cell r="C12" t="str">
            <v>P-01</v>
          </cell>
          <cell r="D12">
            <v>45241</v>
          </cell>
          <cell r="E12">
            <v>1</v>
          </cell>
          <cell r="F12" t="str">
            <v>Ya</v>
          </cell>
        </row>
        <row r="13">
          <cell r="A13" t="str">
            <v>TRX-012</v>
          </cell>
          <cell r="B13" t="str">
            <v>Hendra Gunawan</v>
          </cell>
          <cell r="C13" t="str">
            <v>P-02</v>
          </cell>
          <cell r="D13">
            <v>45285</v>
          </cell>
          <cell r="E13">
            <v>4</v>
          </cell>
          <cell r="F13" t="str">
            <v>Tidak</v>
          </cell>
        </row>
        <row r="14">
          <cell r="A14" t="str">
            <v>TRX-013</v>
          </cell>
          <cell r="B14" t="str">
            <v>INDRA BEKTI</v>
          </cell>
          <cell r="C14" t="str">
            <v>P-03</v>
          </cell>
          <cell r="D14">
            <v>45301</v>
          </cell>
          <cell r="E14">
            <v>2</v>
          </cell>
          <cell r="F14" t="str">
            <v>Ya</v>
          </cell>
        </row>
        <row r="15">
          <cell r="A15" t="str">
            <v>TRX-014</v>
          </cell>
          <cell r="B15" t="str">
            <v>joko widodo</v>
          </cell>
          <cell r="C15" t="str">
            <v>P-04</v>
          </cell>
          <cell r="D15">
            <v>45336</v>
          </cell>
          <cell r="E15">
            <v>1</v>
          </cell>
          <cell r="F15" t="str">
            <v>Tidak</v>
          </cell>
        </row>
        <row r="16">
          <cell r="A16" t="str">
            <v>TRX-015</v>
          </cell>
          <cell r="B16" t="str">
            <v>Kiki Amalia</v>
          </cell>
          <cell r="C16" t="str">
            <v>P-05</v>
          </cell>
          <cell r="D16">
            <v>45356</v>
          </cell>
          <cell r="E16">
            <v>8</v>
          </cell>
          <cell r="F16" t="str">
            <v>Ya</v>
          </cell>
        </row>
        <row r="17">
          <cell r="A17" t="str">
            <v>TRX-016</v>
          </cell>
          <cell r="B17" t="str">
            <v>LINA MARLINA</v>
          </cell>
          <cell r="C17" t="str">
            <v>P-01</v>
          </cell>
          <cell r="D17">
            <v>45400</v>
          </cell>
          <cell r="E17">
            <v>1</v>
          </cell>
          <cell r="F17" t="str">
            <v>Tidak</v>
          </cell>
        </row>
        <row r="18">
          <cell r="A18" t="str">
            <v>TRX-017</v>
          </cell>
          <cell r="B18" t="str">
            <v>maman abdurrahman</v>
          </cell>
          <cell r="C18" t="str">
            <v>P-02</v>
          </cell>
          <cell r="D18">
            <v>45434</v>
          </cell>
          <cell r="E18">
            <v>2</v>
          </cell>
          <cell r="F18" t="str">
            <v>Ya</v>
          </cell>
        </row>
        <row r="19">
          <cell r="A19" t="str">
            <v>TRX-018</v>
          </cell>
          <cell r="B19" t="str">
            <v>Nanda Saputra</v>
          </cell>
          <cell r="C19" t="str">
            <v>P-03</v>
          </cell>
          <cell r="D19">
            <v>45450</v>
          </cell>
          <cell r="E19">
            <v>1</v>
          </cell>
          <cell r="F19" t="str">
            <v>Tidak</v>
          </cell>
        </row>
        <row r="20">
          <cell r="A20" t="str">
            <v>TRX-019</v>
          </cell>
          <cell r="B20" t="str">
            <v>Oki Setiana</v>
          </cell>
          <cell r="C20" t="str">
            <v>P-04</v>
          </cell>
          <cell r="D20">
            <v>45492</v>
          </cell>
          <cell r="E20">
            <v>4</v>
          </cell>
          <cell r="F20" t="str">
            <v>Ya</v>
          </cell>
        </row>
        <row r="21">
          <cell r="A21" t="str">
            <v>TRX-020</v>
          </cell>
          <cell r="B21" t="str">
            <v>PUTRI TITIAN</v>
          </cell>
          <cell r="C21" t="str">
            <v>P-05</v>
          </cell>
          <cell r="D21">
            <v>45534</v>
          </cell>
          <cell r="E21">
            <v>2</v>
          </cell>
          <cell r="F21" t="str">
            <v>Tidak</v>
          </cell>
        </row>
        <row r="22">
          <cell r="A22" t="str">
            <v>TRX-021</v>
          </cell>
          <cell r="B22" t="str">
            <v>qory sandioriva</v>
          </cell>
          <cell r="C22" t="str">
            <v>P-01</v>
          </cell>
          <cell r="D22">
            <v>45547</v>
          </cell>
          <cell r="E22">
            <v>1</v>
          </cell>
          <cell r="F22" t="str">
            <v>Ya</v>
          </cell>
        </row>
        <row r="23">
          <cell r="A23" t="str">
            <v>TRX-022</v>
          </cell>
          <cell r="B23" t="str">
            <v>reza rahardian</v>
          </cell>
          <cell r="C23" t="str">
            <v>P-02</v>
          </cell>
          <cell r="D23">
            <v>45590</v>
          </cell>
          <cell r="E23">
            <v>5</v>
          </cell>
          <cell r="F23" t="str">
            <v>Tidak</v>
          </cell>
        </row>
        <row r="24">
          <cell r="A24" t="str">
            <v>TRX-023</v>
          </cell>
          <cell r="B24" t="str">
            <v>SISCA SOEWITOMO</v>
          </cell>
          <cell r="C24" t="str">
            <v>P-03</v>
          </cell>
          <cell r="D24">
            <v>45598</v>
          </cell>
          <cell r="E24">
            <v>3</v>
          </cell>
          <cell r="F24" t="str">
            <v>Ya</v>
          </cell>
        </row>
        <row r="25">
          <cell r="A25" t="str">
            <v>TRX-024</v>
          </cell>
          <cell r="B25" t="str">
            <v>Tora Sudiro</v>
          </cell>
          <cell r="C25" t="str">
            <v>P-04</v>
          </cell>
          <cell r="D25">
            <v>45638</v>
          </cell>
          <cell r="E25">
            <v>1</v>
          </cell>
          <cell r="F25" t="str">
            <v>Tidak</v>
          </cell>
        </row>
        <row r="26">
          <cell r="A26" t="str">
            <v>TRX-025</v>
          </cell>
          <cell r="B26" t="str">
            <v>umay shahab</v>
          </cell>
          <cell r="C26" t="str">
            <v>P-05</v>
          </cell>
          <cell r="D26">
            <v>45662</v>
          </cell>
          <cell r="E26">
            <v>10</v>
          </cell>
          <cell r="F26" t="str">
            <v>Ya</v>
          </cell>
        </row>
        <row r="27">
          <cell r="A27" t="str">
            <v>TRX-026</v>
          </cell>
          <cell r="B27" t="str">
            <v>budi santoso</v>
          </cell>
          <cell r="C27" t="str">
            <v>P-02</v>
          </cell>
          <cell r="D27">
            <v>44941</v>
          </cell>
          <cell r="E27">
            <v>1</v>
          </cell>
          <cell r="F27" t="str">
            <v>Ya</v>
          </cell>
        </row>
        <row r="28">
          <cell r="A28" t="str">
            <v>TRX-027</v>
          </cell>
          <cell r="B28" t="str">
            <v>SITI AMINAH</v>
          </cell>
          <cell r="C28" t="str">
            <v>P-03</v>
          </cell>
          <cell r="D28">
            <v>44975</v>
          </cell>
          <cell r="E28">
            <v>2</v>
          </cell>
          <cell r="F28" t="str">
            <v>Tidak</v>
          </cell>
        </row>
        <row r="29">
          <cell r="A29" t="str">
            <v>TRX-028</v>
          </cell>
          <cell r="B29" t="str">
            <v>andi wijaya</v>
          </cell>
          <cell r="C29" t="str">
            <v>P-04</v>
          </cell>
          <cell r="D29">
            <v>44997</v>
          </cell>
          <cell r="E29">
            <v>1</v>
          </cell>
          <cell r="F29" t="str">
            <v>Ya</v>
          </cell>
        </row>
        <row r="30">
          <cell r="A30" t="str">
            <v>TRX-029</v>
          </cell>
          <cell r="B30" t="str">
            <v>dewi lestari</v>
          </cell>
          <cell r="C30" t="str">
            <v>P-05</v>
          </cell>
          <cell r="D30">
            <v>45024</v>
          </cell>
          <cell r="E30">
            <v>4</v>
          </cell>
          <cell r="F30" t="str">
            <v>Tidak</v>
          </cell>
        </row>
        <row r="31">
          <cell r="A31" t="str">
            <v>TRX-030</v>
          </cell>
          <cell r="B31" t="str">
            <v>Eko Prasetyo</v>
          </cell>
          <cell r="C31" t="str">
            <v>P-01</v>
          </cell>
          <cell r="D31">
            <v>45061</v>
          </cell>
          <cell r="E31">
            <v>2</v>
          </cell>
          <cell r="F31" t="str">
            <v>Ya</v>
          </cell>
        </row>
        <row r="32">
          <cell r="A32" t="str">
            <v>TRX-031</v>
          </cell>
          <cell r="B32" t="str">
            <v>Rina mr</v>
          </cell>
          <cell r="C32" t="str">
            <v>P-02</v>
          </cell>
          <cell r="D32">
            <v>45099</v>
          </cell>
          <cell r="E32">
            <v>3</v>
          </cell>
          <cell r="F32" t="str">
            <v>Tidak</v>
          </cell>
        </row>
        <row r="33">
          <cell r="A33" t="str">
            <v>TRX-032</v>
          </cell>
          <cell r="B33" t="str">
            <v>AGUS SUPRIYADI</v>
          </cell>
          <cell r="C33" t="str">
            <v>P-03</v>
          </cell>
          <cell r="D33">
            <v>45132</v>
          </cell>
          <cell r="E33">
            <v>1</v>
          </cell>
          <cell r="F33" t="str">
            <v>Ya</v>
          </cell>
        </row>
        <row r="34">
          <cell r="A34" t="str">
            <v>TRX-033</v>
          </cell>
          <cell r="B34" t="str">
            <v>nina herlina</v>
          </cell>
          <cell r="C34" t="str">
            <v>P-04</v>
          </cell>
          <cell r="D34">
            <v>45148</v>
          </cell>
          <cell r="E34">
            <v>2</v>
          </cell>
          <cell r="F34" t="str">
            <v>Tidak</v>
          </cell>
        </row>
        <row r="35">
          <cell r="A35" t="str">
            <v>TRX-034</v>
          </cell>
          <cell r="B35" t="str">
            <v>Doni Salmanan</v>
          </cell>
          <cell r="C35" t="str">
            <v>P-05</v>
          </cell>
          <cell r="D35">
            <v>45185</v>
          </cell>
          <cell r="E35">
            <v>5</v>
          </cell>
          <cell r="F35" t="str">
            <v>Ya</v>
          </cell>
        </row>
        <row r="36">
          <cell r="A36" t="str">
            <v>TRX-035</v>
          </cell>
          <cell r="B36" t="str">
            <v>Fajar Nugraha</v>
          </cell>
          <cell r="C36" t="str">
            <v>P-01</v>
          </cell>
          <cell r="D36">
            <v>45204</v>
          </cell>
          <cell r="E36">
            <v>1</v>
          </cell>
          <cell r="F36" t="str">
            <v>Tidak</v>
          </cell>
        </row>
        <row r="37">
          <cell r="A37" t="str">
            <v>TRX-036</v>
          </cell>
          <cell r="B37" t="str">
            <v>GINA sonia</v>
          </cell>
          <cell r="C37" t="str">
            <v>P-02</v>
          </cell>
          <cell r="D37">
            <v>45245</v>
          </cell>
          <cell r="E37">
            <v>2</v>
          </cell>
          <cell r="F37" t="str">
            <v>Ya</v>
          </cell>
        </row>
        <row r="38">
          <cell r="A38" t="str">
            <v>TRX-037</v>
          </cell>
          <cell r="B38" t="str">
            <v>Hendra Gunawan</v>
          </cell>
          <cell r="C38" t="str">
            <v>P-03</v>
          </cell>
          <cell r="D38">
            <v>45288</v>
          </cell>
          <cell r="E38">
            <v>1</v>
          </cell>
          <cell r="F38" t="str">
            <v>Tidak</v>
          </cell>
        </row>
        <row r="39">
          <cell r="A39" t="str">
            <v>TRX-038</v>
          </cell>
          <cell r="B39" t="str">
            <v>INDRA BEKTI</v>
          </cell>
          <cell r="C39" t="str">
            <v>P-04</v>
          </cell>
          <cell r="D39">
            <v>45303</v>
          </cell>
          <cell r="E39">
            <v>3</v>
          </cell>
          <cell r="F39" t="str">
            <v>Ya</v>
          </cell>
        </row>
        <row r="40">
          <cell r="A40" t="str">
            <v>TRX-039</v>
          </cell>
          <cell r="B40" t="str">
            <v>joko widodo</v>
          </cell>
          <cell r="C40" t="str">
            <v>P-05</v>
          </cell>
          <cell r="D40">
            <v>45340</v>
          </cell>
          <cell r="E40">
            <v>2</v>
          </cell>
          <cell r="F40" t="str">
            <v>Tidak</v>
          </cell>
        </row>
        <row r="41">
          <cell r="A41" t="str">
            <v>TRX-040</v>
          </cell>
          <cell r="B41" t="str">
            <v>Kiki Amalia</v>
          </cell>
          <cell r="C41" t="str">
            <v>P-01</v>
          </cell>
          <cell r="D41">
            <v>45359</v>
          </cell>
          <cell r="E41">
            <v>1</v>
          </cell>
          <cell r="F41" t="str">
            <v>Ya</v>
          </cell>
        </row>
        <row r="42">
          <cell r="A42" t="str">
            <v>TRX-041</v>
          </cell>
          <cell r="B42" t="str">
            <v>LINA MARLINA</v>
          </cell>
          <cell r="C42" t="str">
            <v>P-02</v>
          </cell>
          <cell r="D42">
            <v>45402</v>
          </cell>
          <cell r="E42">
            <v>4</v>
          </cell>
          <cell r="F42" t="str">
            <v>Tidak</v>
          </cell>
        </row>
        <row r="43">
          <cell r="A43" t="str">
            <v>TRX-042</v>
          </cell>
          <cell r="B43" t="str">
            <v>maman abdurrahman</v>
          </cell>
          <cell r="C43" t="str">
            <v>P-03</v>
          </cell>
          <cell r="D43">
            <v>45437</v>
          </cell>
          <cell r="E43">
            <v>1</v>
          </cell>
          <cell r="F43" t="str">
            <v>Ya</v>
          </cell>
        </row>
        <row r="44">
          <cell r="A44" t="str">
            <v>TRX-043</v>
          </cell>
          <cell r="B44" t="str">
            <v>Nanda Saputra</v>
          </cell>
          <cell r="C44" t="str">
            <v>P-04</v>
          </cell>
          <cell r="D44">
            <v>45453</v>
          </cell>
          <cell r="E44">
            <v>2</v>
          </cell>
          <cell r="F44" t="str">
            <v>Tidak</v>
          </cell>
        </row>
        <row r="45">
          <cell r="A45" t="str">
            <v>TRX-044</v>
          </cell>
          <cell r="B45" t="str">
            <v>Oki Setiana</v>
          </cell>
          <cell r="C45" t="str">
            <v>P-05</v>
          </cell>
          <cell r="D45">
            <v>45495</v>
          </cell>
          <cell r="E45">
            <v>3</v>
          </cell>
          <cell r="F45" t="str">
            <v>Ya</v>
          </cell>
        </row>
        <row r="46">
          <cell r="A46" t="str">
            <v>TRX-045</v>
          </cell>
          <cell r="B46" t="str">
            <v>PUTRI TITIAN</v>
          </cell>
          <cell r="C46" t="str">
            <v>P-01</v>
          </cell>
          <cell r="D46">
            <v>45537</v>
          </cell>
          <cell r="E46">
            <v>1</v>
          </cell>
          <cell r="F46" t="str">
            <v>Tidak</v>
          </cell>
        </row>
        <row r="47">
          <cell r="A47" t="str">
            <v>TRX-046</v>
          </cell>
          <cell r="B47" t="str">
            <v>qory sandioriva</v>
          </cell>
          <cell r="C47" t="str">
            <v>P-02</v>
          </cell>
          <cell r="D47">
            <v>45550</v>
          </cell>
          <cell r="E47">
            <v>5</v>
          </cell>
          <cell r="F47" t="str">
            <v>Ya</v>
          </cell>
        </row>
        <row r="48">
          <cell r="A48" t="str">
            <v>TRX-047</v>
          </cell>
          <cell r="B48" t="str">
            <v>reza rahardian</v>
          </cell>
          <cell r="C48" t="str">
            <v>P-03</v>
          </cell>
          <cell r="D48">
            <v>45593</v>
          </cell>
          <cell r="E48">
            <v>2</v>
          </cell>
          <cell r="F48" t="str">
            <v>Tidak</v>
          </cell>
        </row>
        <row r="49">
          <cell r="A49" t="str">
            <v>TRX-048</v>
          </cell>
          <cell r="B49" t="str">
            <v>SISCA SOEWITOMO</v>
          </cell>
          <cell r="C49" t="str">
            <v>P-04</v>
          </cell>
          <cell r="D49">
            <v>45601</v>
          </cell>
          <cell r="E49">
            <v>1</v>
          </cell>
          <cell r="F49" t="str">
            <v>Ya</v>
          </cell>
        </row>
        <row r="50">
          <cell r="A50" t="str">
            <v>TRX-049</v>
          </cell>
          <cell r="B50" t="str">
            <v>Tora Sudiro</v>
          </cell>
          <cell r="C50" t="str">
            <v>P-05</v>
          </cell>
          <cell r="D50">
            <v>45641</v>
          </cell>
          <cell r="E50">
            <v>4</v>
          </cell>
          <cell r="F50" t="str">
            <v>Tidak</v>
          </cell>
        </row>
        <row r="51">
          <cell r="A51" t="str">
            <v>TRX-050</v>
          </cell>
          <cell r="B51" t="str">
            <v>umay shahab</v>
          </cell>
          <cell r="C51" t="str">
            <v>P-01</v>
          </cell>
          <cell r="D51">
            <v>45665</v>
          </cell>
          <cell r="E51">
            <v>2</v>
          </cell>
          <cell r="F51" t="str">
            <v>Ya</v>
          </cell>
        </row>
        <row r="52">
          <cell r="A52" t="str">
            <v>TRX-051</v>
          </cell>
          <cell r="B52" t="str">
            <v>budi santoso</v>
          </cell>
          <cell r="C52" t="str">
            <v>P-03</v>
          </cell>
          <cell r="D52">
            <v>44946</v>
          </cell>
          <cell r="E52">
            <v>1</v>
          </cell>
          <cell r="F52" t="str">
            <v>Ya</v>
          </cell>
        </row>
        <row r="53">
          <cell r="A53" t="str">
            <v>TRX-052</v>
          </cell>
          <cell r="B53" t="str">
            <v>SITI AMINAH</v>
          </cell>
          <cell r="C53" t="str">
            <v>P-04</v>
          </cell>
          <cell r="D53">
            <v>44979</v>
          </cell>
          <cell r="E53">
            <v>2</v>
          </cell>
          <cell r="F53" t="str">
            <v>Tidak</v>
          </cell>
        </row>
        <row r="54">
          <cell r="A54" t="str">
            <v>TRX-053</v>
          </cell>
          <cell r="B54" t="str">
            <v>andi wijaya</v>
          </cell>
          <cell r="C54" t="str">
            <v>P-05</v>
          </cell>
          <cell r="D54">
            <v>45000</v>
          </cell>
          <cell r="E54">
            <v>6</v>
          </cell>
          <cell r="F54" t="str">
            <v>Ya</v>
          </cell>
        </row>
        <row r="55">
          <cell r="A55" t="str">
            <v>TRX-054</v>
          </cell>
          <cell r="B55" t="str">
            <v>dewi lestari</v>
          </cell>
          <cell r="C55" t="str">
            <v>P-01</v>
          </cell>
          <cell r="D55">
            <v>45028</v>
          </cell>
          <cell r="E55">
            <v>1</v>
          </cell>
          <cell r="F55" t="str">
            <v>Tidak</v>
          </cell>
        </row>
        <row r="56">
          <cell r="A56" t="str">
            <v>TRX-055</v>
          </cell>
          <cell r="B56" t="str">
            <v>Eko Prasetyo</v>
          </cell>
          <cell r="C56" t="str">
            <v>P-02</v>
          </cell>
          <cell r="D56">
            <v>45064</v>
          </cell>
          <cell r="E56">
            <v>3</v>
          </cell>
          <cell r="F56" t="str">
            <v>Ya</v>
          </cell>
        </row>
        <row r="57">
          <cell r="A57" t="str">
            <v>TRX-056</v>
          </cell>
          <cell r="B57" t="str">
            <v>Rina mr</v>
          </cell>
          <cell r="C57" t="str">
            <v>P-03</v>
          </cell>
          <cell r="D57">
            <v>45102</v>
          </cell>
          <cell r="E57">
            <v>1</v>
          </cell>
          <cell r="F57" t="str">
            <v>Tidak</v>
          </cell>
        </row>
        <row r="58">
          <cell r="A58" t="str">
            <v>TRX-057</v>
          </cell>
          <cell r="B58" t="str">
            <v>AGUS SUPRIYADI</v>
          </cell>
          <cell r="C58" t="str">
            <v>P-04</v>
          </cell>
          <cell r="D58">
            <v>45135</v>
          </cell>
          <cell r="E58">
            <v>2</v>
          </cell>
          <cell r="F58" t="str">
            <v>Ya</v>
          </cell>
        </row>
        <row r="59">
          <cell r="A59" t="str">
            <v>TRX-058</v>
          </cell>
          <cell r="B59" t="str">
            <v>nina herlina</v>
          </cell>
          <cell r="C59" t="str">
            <v>P-05</v>
          </cell>
          <cell r="D59">
            <v>45152</v>
          </cell>
          <cell r="E59">
            <v>5</v>
          </cell>
          <cell r="F59" t="str">
            <v>Tidak</v>
          </cell>
        </row>
        <row r="60">
          <cell r="A60" t="str">
            <v>TRX-059</v>
          </cell>
          <cell r="B60" t="str">
            <v>Doni Salmanan</v>
          </cell>
          <cell r="C60" t="str">
            <v>P-01</v>
          </cell>
          <cell r="D60">
            <v>45189</v>
          </cell>
          <cell r="E60">
            <v>1</v>
          </cell>
          <cell r="F60" t="str">
            <v>Ya</v>
          </cell>
        </row>
        <row r="61">
          <cell r="A61" t="str">
            <v>TRX-060</v>
          </cell>
          <cell r="B61" t="str">
            <v>Fajar Nugraha</v>
          </cell>
          <cell r="C61" t="str">
            <v>P-02</v>
          </cell>
          <cell r="D61">
            <v>45209</v>
          </cell>
          <cell r="E61">
            <v>4</v>
          </cell>
          <cell r="F61" t="str">
            <v>Tidak</v>
          </cell>
        </row>
        <row r="62">
          <cell r="A62" t="str">
            <v>TRX-061</v>
          </cell>
          <cell r="B62" t="str">
            <v>GINA sonia</v>
          </cell>
          <cell r="C62" t="str">
            <v>P-03</v>
          </cell>
          <cell r="D62">
            <v>45248</v>
          </cell>
          <cell r="E62">
            <v>2</v>
          </cell>
          <cell r="F62" t="str">
            <v>Ya</v>
          </cell>
        </row>
        <row r="63">
          <cell r="A63" t="str">
            <v>TRX-062</v>
          </cell>
          <cell r="B63" t="str">
            <v>Hendra Gunawan</v>
          </cell>
          <cell r="C63" t="str">
            <v>P-04</v>
          </cell>
          <cell r="D63">
            <v>45290</v>
          </cell>
          <cell r="E63">
            <v>1</v>
          </cell>
          <cell r="F63" t="str">
            <v>Tidak</v>
          </cell>
        </row>
        <row r="64">
          <cell r="A64" t="str">
            <v>TRX-063</v>
          </cell>
          <cell r="B64" t="str">
            <v>INDRA BEKTI</v>
          </cell>
          <cell r="C64" t="str">
            <v>P-05</v>
          </cell>
          <cell r="D64">
            <v>45306</v>
          </cell>
          <cell r="E64">
            <v>3</v>
          </cell>
          <cell r="F64" t="str">
            <v>Ya</v>
          </cell>
        </row>
        <row r="65">
          <cell r="A65" t="str">
            <v>TRX-064</v>
          </cell>
          <cell r="B65" t="str">
            <v>joko widodo</v>
          </cell>
          <cell r="C65" t="str">
            <v>P-01</v>
          </cell>
          <cell r="D65">
            <v>45344</v>
          </cell>
          <cell r="E65">
            <v>1</v>
          </cell>
          <cell r="F65" t="str">
            <v>Tidak</v>
          </cell>
        </row>
        <row r="66">
          <cell r="A66" t="str">
            <v>TRX-065</v>
          </cell>
          <cell r="B66" t="str">
            <v>Kiki Amalia</v>
          </cell>
          <cell r="C66" t="str">
            <v>P-02</v>
          </cell>
          <cell r="D66">
            <v>45363</v>
          </cell>
          <cell r="E66">
            <v>5</v>
          </cell>
          <cell r="F66" t="str">
            <v>Ya</v>
          </cell>
        </row>
        <row r="67">
          <cell r="A67" t="str">
            <v>TRX-066</v>
          </cell>
          <cell r="B67" t="str">
            <v>LINA MARLINA</v>
          </cell>
          <cell r="C67" t="str">
            <v>P-03</v>
          </cell>
          <cell r="D67">
            <v>45407</v>
          </cell>
          <cell r="E67">
            <v>1</v>
          </cell>
          <cell r="F67" t="str">
            <v>Tidak</v>
          </cell>
        </row>
        <row r="68">
          <cell r="A68" t="str">
            <v>TRX-067</v>
          </cell>
          <cell r="B68" t="str">
            <v>maman abdurrahman</v>
          </cell>
          <cell r="C68" t="str">
            <v>P-04</v>
          </cell>
          <cell r="D68">
            <v>45440</v>
          </cell>
          <cell r="E68">
            <v>2</v>
          </cell>
          <cell r="F68" t="str">
            <v>Ya</v>
          </cell>
        </row>
        <row r="69">
          <cell r="A69" t="str">
            <v>TRX-068</v>
          </cell>
          <cell r="B69" t="str">
            <v>Nanda Saputra</v>
          </cell>
          <cell r="C69" t="str">
            <v>P-05</v>
          </cell>
          <cell r="D69">
            <v>45458</v>
          </cell>
          <cell r="E69">
            <v>4</v>
          </cell>
          <cell r="F69" t="str">
            <v>Tidak</v>
          </cell>
        </row>
        <row r="70">
          <cell r="A70" t="str">
            <v>TRX-069</v>
          </cell>
          <cell r="B70" t="str">
            <v>Oki Setiana</v>
          </cell>
          <cell r="C70" t="str">
            <v>P-01</v>
          </cell>
          <cell r="D70">
            <v>45498</v>
          </cell>
          <cell r="E70">
            <v>1</v>
          </cell>
          <cell r="F70" t="str">
            <v>Ya</v>
          </cell>
        </row>
        <row r="71">
          <cell r="A71" t="str">
            <v>TRX-070</v>
          </cell>
          <cell r="B71" t="str">
            <v>PUTRI TITIAN</v>
          </cell>
          <cell r="C71" t="str">
            <v>P-02</v>
          </cell>
          <cell r="D71">
            <v>45540</v>
          </cell>
          <cell r="E71">
            <v>3</v>
          </cell>
          <cell r="F71" t="str">
            <v>Tidak</v>
          </cell>
        </row>
        <row r="72">
          <cell r="A72" t="str">
            <v>TRX-071</v>
          </cell>
          <cell r="B72" t="str">
            <v>qory sandioriva</v>
          </cell>
          <cell r="C72" t="str">
            <v>P-03</v>
          </cell>
          <cell r="D72">
            <v>45553</v>
          </cell>
          <cell r="E72">
            <v>2</v>
          </cell>
          <cell r="F72" t="str">
            <v>Ya</v>
          </cell>
        </row>
        <row r="73">
          <cell r="A73" t="str">
            <v>TRX-072</v>
          </cell>
          <cell r="B73" t="str">
            <v>reza rahardian</v>
          </cell>
          <cell r="C73" t="str">
            <v>P-04</v>
          </cell>
          <cell r="D73">
            <v>45595</v>
          </cell>
          <cell r="E73">
            <v>1</v>
          </cell>
          <cell r="F73" t="str">
            <v>Tidak</v>
          </cell>
        </row>
        <row r="74">
          <cell r="A74" t="str">
            <v>TRX-073</v>
          </cell>
          <cell r="B74" t="str">
            <v>SISCA SOEWITOMO</v>
          </cell>
          <cell r="C74" t="str">
            <v>P-05</v>
          </cell>
          <cell r="D74">
            <v>45604</v>
          </cell>
          <cell r="E74">
            <v>5</v>
          </cell>
          <cell r="F74" t="str">
            <v>Ya</v>
          </cell>
        </row>
        <row r="75">
          <cell r="A75" t="str">
            <v>TRX-074</v>
          </cell>
          <cell r="B75" t="str">
            <v>Tora Sudiro</v>
          </cell>
          <cell r="C75" t="str">
            <v>P-01</v>
          </cell>
          <cell r="D75">
            <v>45644</v>
          </cell>
          <cell r="E75">
            <v>1</v>
          </cell>
          <cell r="F75" t="str">
            <v>Tidak</v>
          </cell>
        </row>
        <row r="76">
          <cell r="A76" t="str">
            <v>TRX-075</v>
          </cell>
          <cell r="B76" t="str">
            <v>umay shahab</v>
          </cell>
          <cell r="C76" t="str">
            <v>P-02</v>
          </cell>
          <cell r="D76">
            <v>45669</v>
          </cell>
          <cell r="E76">
            <v>4</v>
          </cell>
          <cell r="F76" t="str">
            <v>Ya</v>
          </cell>
        </row>
        <row r="77">
          <cell r="A77" t="str">
            <v>TRX-076</v>
          </cell>
          <cell r="B77" t="str">
            <v>budi santoso</v>
          </cell>
          <cell r="C77" t="str">
            <v>P-04</v>
          </cell>
          <cell r="D77">
            <v>44951</v>
          </cell>
          <cell r="E77">
            <v>1</v>
          </cell>
          <cell r="F77" t="str">
            <v>Ya</v>
          </cell>
        </row>
        <row r="78">
          <cell r="A78" t="str">
            <v>TRX-077</v>
          </cell>
          <cell r="B78" t="str">
            <v>SITI AMINAH</v>
          </cell>
          <cell r="C78" t="str">
            <v>P-05</v>
          </cell>
          <cell r="D78">
            <v>44982</v>
          </cell>
          <cell r="E78">
            <v>7</v>
          </cell>
          <cell r="F78" t="str">
            <v>Tidak</v>
          </cell>
        </row>
        <row r="79">
          <cell r="A79" t="str">
            <v>TRX-078</v>
          </cell>
          <cell r="B79" t="str">
            <v>andi wijaya</v>
          </cell>
          <cell r="C79" t="str">
            <v>P-01</v>
          </cell>
          <cell r="D79">
            <v>45003</v>
          </cell>
          <cell r="E79">
            <v>1</v>
          </cell>
          <cell r="F79" t="str">
            <v>Ya</v>
          </cell>
        </row>
        <row r="80">
          <cell r="A80" t="str">
            <v>TRX-079</v>
          </cell>
          <cell r="B80" t="str">
            <v>dewi lestari</v>
          </cell>
          <cell r="C80" t="str">
            <v>P-02</v>
          </cell>
          <cell r="D80">
            <v>45031</v>
          </cell>
          <cell r="E80">
            <v>3</v>
          </cell>
          <cell r="F80" t="str">
            <v>Tidak</v>
          </cell>
        </row>
        <row r="81">
          <cell r="A81" t="str">
            <v>TRX-080</v>
          </cell>
          <cell r="B81" t="str">
            <v>Eko Prasetyo</v>
          </cell>
          <cell r="C81" t="str">
            <v>P-03</v>
          </cell>
          <cell r="D81">
            <v>45068</v>
          </cell>
          <cell r="E81">
            <v>2</v>
          </cell>
          <cell r="F81" t="str">
            <v>Ya</v>
          </cell>
        </row>
        <row r="82">
          <cell r="A82" t="str">
            <v>TRX-081</v>
          </cell>
          <cell r="B82" t="str">
            <v>Rina mr</v>
          </cell>
          <cell r="C82" t="str">
            <v>P-04</v>
          </cell>
          <cell r="D82">
            <v>45105</v>
          </cell>
          <cell r="E82">
            <v>1</v>
          </cell>
          <cell r="F82" t="str">
            <v>Tidak</v>
          </cell>
        </row>
        <row r="83">
          <cell r="A83" t="str">
            <v>TRX-082</v>
          </cell>
          <cell r="B83" t="str">
            <v>AGUS SUPRIYADI</v>
          </cell>
          <cell r="C83" t="str">
            <v>P-05</v>
          </cell>
          <cell r="D83">
            <v>45137</v>
          </cell>
          <cell r="E83">
            <v>4</v>
          </cell>
          <cell r="F83" t="str">
            <v>Ya</v>
          </cell>
        </row>
        <row r="84">
          <cell r="A84" t="str">
            <v>TRX-083</v>
          </cell>
          <cell r="B84" t="str">
            <v>nina herlina</v>
          </cell>
          <cell r="C84" t="str">
            <v>P-01</v>
          </cell>
          <cell r="D84">
            <v>45156</v>
          </cell>
          <cell r="E84">
            <v>2</v>
          </cell>
          <cell r="F84" t="str">
            <v>Tidak</v>
          </cell>
        </row>
        <row r="85">
          <cell r="A85" t="str">
            <v>TRX-084</v>
          </cell>
          <cell r="B85" t="str">
            <v>Doni Salmanan</v>
          </cell>
          <cell r="C85" t="str">
            <v>P-02</v>
          </cell>
          <cell r="D85">
            <v>45194</v>
          </cell>
          <cell r="E85">
            <v>5</v>
          </cell>
          <cell r="F85" t="str">
            <v>Ya</v>
          </cell>
        </row>
        <row r="86">
          <cell r="A86" t="str">
            <v>TRX-085</v>
          </cell>
          <cell r="B86" t="str">
            <v>Fajar Nugraha</v>
          </cell>
          <cell r="C86" t="str">
            <v>P-03</v>
          </cell>
          <cell r="D86">
            <v>45214</v>
          </cell>
          <cell r="E86">
            <v>1</v>
          </cell>
          <cell r="F86" t="str">
            <v>Tidak</v>
          </cell>
        </row>
        <row r="87">
          <cell r="A87" t="str">
            <v>TRX-086</v>
          </cell>
          <cell r="B87" t="str">
            <v>GINA sonia</v>
          </cell>
          <cell r="C87" t="str">
            <v>P-04</v>
          </cell>
          <cell r="D87">
            <v>45252</v>
          </cell>
          <cell r="E87">
            <v>2</v>
          </cell>
          <cell r="F87" t="str">
            <v>Ya</v>
          </cell>
        </row>
        <row r="88">
          <cell r="A88" t="str">
            <v>TRX-087</v>
          </cell>
          <cell r="B88" t="str">
            <v>Hendra Gunawan</v>
          </cell>
          <cell r="C88" t="str">
            <v>P-05</v>
          </cell>
          <cell r="D88">
            <v>45296</v>
          </cell>
          <cell r="E88">
            <v>3</v>
          </cell>
          <cell r="F88" t="str">
            <v>Tidak</v>
          </cell>
        </row>
        <row r="89">
          <cell r="A89" t="str">
            <v>TRX-088</v>
          </cell>
          <cell r="B89" t="str">
            <v>INDRA BEKTI</v>
          </cell>
          <cell r="C89" t="str">
            <v>P-01</v>
          </cell>
          <cell r="D89">
            <v>45309</v>
          </cell>
          <cell r="E89">
            <v>1</v>
          </cell>
          <cell r="F89" t="str">
            <v>Ya</v>
          </cell>
        </row>
        <row r="90">
          <cell r="A90" t="str">
            <v>TRX-089</v>
          </cell>
          <cell r="B90" t="str">
            <v>joko widodo</v>
          </cell>
          <cell r="C90" t="str">
            <v>P-02</v>
          </cell>
          <cell r="D90">
            <v>45347</v>
          </cell>
          <cell r="E90">
            <v>4</v>
          </cell>
          <cell r="F90" t="str">
            <v>Tidak</v>
          </cell>
        </row>
        <row r="91">
          <cell r="A91" t="str">
            <v>TRX-090</v>
          </cell>
          <cell r="B91" t="str">
            <v>Kiki Amalia</v>
          </cell>
          <cell r="C91" t="str">
            <v>P-03</v>
          </cell>
          <cell r="D91">
            <v>45366</v>
          </cell>
          <cell r="E91">
            <v>2</v>
          </cell>
          <cell r="F91" t="str">
            <v>Ya</v>
          </cell>
        </row>
        <row r="92">
          <cell r="A92" t="str">
            <v>TRX-091</v>
          </cell>
          <cell r="B92" t="str">
            <v>LINA MARLINA</v>
          </cell>
          <cell r="C92" t="str">
            <v>P-04</v>
          </cell>
          <cell r="D92">
            <v>45410</v>
          </cell>
          <cell r="E92">
            <v>1</v>
          </cell>
          <cell r="F92" t="str">
            <v>Tidak</v>
          </cell>
        </row>
        <row r="93">
          <cell r="A93" t="str">
            <v>TRX-092</v>
          </cell>
          <cell r="B93" t="str">
            <v>maman abdurrahman</v>
          </cell>
          <cell r="C93" t="str">
            <v>P-05</v>
          </cell>
          <cell r="D93">
            <v>45442</v>
          </cell>
          <cell r="E93">
            <v>6</v>
          </cell>
          <cell r="F93" t="str">
            <v>Ya</v>
          </cell>
        </row>
        <row r="94">
          <cell r="A94" t="str">
            <v>TRX-093</v>
          </cell>
          <cell r="B94" t="str">
            <v>Nanda Saputra</v>
          </cell>
          <cell r="C94" t="str">
            <v>P-01</v>
          </cell>
          <cell r="D94">
            <v>45463</v>
          </cell>
          <cell r="E94">
            <v>1</v>
          </cell>
          <cell r="F94" t="str">
            <v>Tidak</v>
          </cell>
        </row>
        <row r="95">
          <cell r="A95" t="str">
            <v>TRX-094</v>
          </cell>
          <cell r="B95" t="str">
            <v>Oki Setiana</v>
          </cell>
          <cell r="C95" t="str">
            <v>P-02</v>
          </cell>
          <cell r="D95">
            <v>45501</v>
          </cell>
          <cell r="E95">
            <v>3</v>
          </cell>
          <cell r="F95" t="str">
            <v>Ya</v>
          </cell>
        </row>
        <row r="96">
          <cell r="A96" t="str">
            <v>TRX-095</v>
          </cell>
          <cell r="B96" t="str">
            <v>PUTRI TITIAN</v>
          </cell>
          <cell r="C96" t="str">
            <v>P-03</v>
          </cell>
          <cell r="D96">
            <v>45545</v>
          </cell>
          <cell r="E96">
            <v>2</v>
          </cell>
          <cell r="F96" t="str">
            <v>Tidak</v>
          </cell>
        </row>
        <row r="97">
          <cell r="A97" t="str">
            <v>TRX-096</v>
          </cell>
          <cell r="B97" t="str">
            <v>qory sandioriva</v>
          </cell>
          <cell r="C97" t="str">
            <v>P-04</v>
          </cell>
          <cell r="D97">
            <v>45557</v>
          </cell>
          <cell r="E97">
            <v>1</v>
          </cell>
          <cell r="F97" t="str">
            <v>Ya</v>
          </cell>
        </row>
        <row r="98">
          <cell r="A98" t="str">
            <v>TRX-097</v>
          </cell>
          <cell r="B98" t="str">
            <v>reza rahardian</v>
          </cell>
          <cell r="C98" t="str">
            <v>P-05</v>
          </cell>
          <cell r="D98">
            <v>45601</v>
          </cell>
          <cell r="E98">
            <v>5</v>
          </cell>
          <cell r="F98" t="str">
            <v>Tidak</v>
          </cell>
        </row>
        <row r="99">
          <cell r="A99" t="str">
            <v>TRX-098</v>
          </cell>
          <cell r="B99" t="str">
            <v>SISCA SOEWITOMO</v>
          </cell>
          <cell r="C99" t="str">
            <v>P-01</v>
          </cell>
          <cell r="D99">
            <v>45608</v>
          </cell>
          <cell r="E99">
            <v>1</v>
          </cell>
          <cell r="F99" t="str">
            <v>Ya</v>
          </cell>
        </row>
        <row r="100">
          <cell r="A100" t="str">
            <v>TRX-099</v>
          </cell>
          <cell r="B100" t="str">
            <v>Tora Sudiro</v>
          </cell>
          <cell r="C100" t="str">
            <v>P-02</v>
          </cell>
          <cell r="D100">
            <v>45648</v>
          </cell>
          <cell r="E100">
            <v>4</v>
          </cell>
          <cell r="F100" t="str">
            <v>Tidak</v>
          </cell>
        </row>
        <row r="101">
          <cell r="A101" t="str">
            <v>TRX-100</v>
          </cell>
          <cell r="B101" t="str">
            <v>umay shahab</v>
          </cell>
          <cell r="C101" t="str">
            <v>P-03</v>
          </cell>
          <cell r="D101">
            <v>45672</v>
          </cell>
          <cell r="E101">
            <v>2</v>
          </cell>
          <cell r="F101" t="str">
            <v>Ya</v>
          </cell>
        </row>
      </sheetData>
      <sheetData sheetId="1">
        <row r="1">
          <cell r="A1" t="str">
            <v>Kode Produk</v>
          </cell>
          <cell r="B1" t="str">
            <v>Nama Produk</v>
          </cell>
          <cell r="C1" t="str">
            <v>Harga Satuan</v>
          </cell>
          <cell r="D1" t="str">
            <v>Kategori</v>
          </cell>
        </row>
        <row r="2">
          <cell r="A2" t="str">
            <v>P-01</v>
          </cell>
          <cell r="B2" t="str">
            <v>Laptop Pro 14</v>
          </cell>
          <cell r="C2">
            <v>12500000</v>
          </cell>
          <cell r="D2" t="str">
            <v>Komputer</v>
          </cell>
        </row>
        <row r="3">
          <cell r="A3" t="str">
            <v>P-02</v>
          </cell>
          <cell r="B3" t="str">
            <v>Mouse Wireless</v>
          </cell>
          <cell r="C3">
            <v>150000</v>
          </cell>
          <cell r="D3" t="str">
            <v>Aksesoris</v>
          </cell>
        </row>
        <row r="4">
          <cell r="A4" t="str">
            <v>P-03</v>
          </cell>
          <cell r="B4" t="str">
            <v>Keyboard Mechanical</v>
          </cell>
          <cell r="C4">
            <v>450000</v>
          </cell>
          <cell r="D4" t="str">
            <v>Aksesoris</v>
          </cell>
        </row>
        <row r="5">
          <cell r="A5" t="str">
            <v>P-04</v>
          </cell>
          <cell r="B5" t="str">
            <v>Monitor 27 Inch</v>
          </cell>
          <cell r="C5">
            <v>2100000</v>
          </cell>
          <cell r="D5" t="str">
            <v>Komputer</v>
          </cell>
        </row>
        <row r="6">
          <cell r="A6" t="str">
            <v>P-05</v>
          </cell>
          <cell r="B6" t="str">
            <v>Flashdisk 64GB</v>
          </cell>
          <cell r="C6">
            <v>95000</v>
          </cell>
          <cell r="D6" t="str">
            <v>Aksesoris</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dy" refreshedDate="46270.123470023151" createdVersion="8" refreshedVersion="8" minRefreshableVersion="3" recordCount="100" xr:uid="{722AB1A6-6D27-4AEA-848E-5EF7EE2C102B}">
  <cacheSource type="worksheet">
    <worksheetSource name="Table1"/>
  </cacheSource>
  <cacheFields count="15">
    <cacheField name="ID" numFmtId="0">
      <sharedItems/>
    </cacheField>
    <cacheField name="Nama Kasir" numFmtId="0">
      <sharedItems count="25">
        <s v="Budi Santoso"/>
        <s v="Siti Aminah"/>
        <s v="Andi Wijaya"/>
        <s v="Dewi Lestari"/>
        <s v="Eko Prasetyo"/>
        <s v="Rina Mr"/>
        <s v="Agus Supriyadi"/>
        <s v="Nina Herlina"/>
        <s v="Doni Salmanan"/>
        <s v="Fajar Nugraha"/>
        <s v="Gina Sonia"/>
        <s v="Hendra Gunawan"/>
        <s v="Indra Bekti"/>
        <s v="Joko Widodo"/>
        <s v="Kiki Amalia"/>
        <s v="Lina Marlina"/>
        <s v="Maman Abdurrahman"/>
        <s v="Nanda Saputra"/>
        <s v="Oki Setiana"/>
        <s v="Putri Titian"/>
        <s v="Qory Sandioriva"/>
        <s v="Reza Rahardian"/>
        <s v="Sisca Soewitomo"/>
        <s v="Tora Sudiro"/>
        <s v="Umay Shahab"/>
      </sharedItems>
    </cacheField>
    <cacheField name="Kode Produk" numFmtId="0">
      <sharedItems/>
    </cacheField>
    <cacheField name="Nama Produk" numFmtId="0">
      <sharedItems count="5">
        <s v="Laptop Pro 14"/>
        <s v="Mouse Wireless"/>
        <s v="Keyboard Mechanical"/>
        <s v="Monitor 27 Inch"/>
        <s v="Flashdisk 64GB"/>
      </sharedItems>
    </cacheField>
    <cacheField name="Harga Satuan" numFmtId="166">
      <sharedItems containsSemiMixedTypes="0" containsString="0" containsNumber="1" containsInteger="1" minValue="95000" maxValue="12500000"/>
    </cacheField>
    <cacheField name="Kategori" numFmtId="0">
      <sharedItems count="2">
        <s v="Komputer"/>
        <s v="Aksesoris"/>
      </sharedItems>
    </cacheField>
    <cacheField name="Tanggal Beli" numFmtId="165">
      <sharedItems containsSemiMixedTypes="0" containsNonDate="0" containsDate="1" containsString="0" minDate="2023-01-12T00:00:00" maxDate="2025-01-16T00:00:00" count="99">
        <d v="2023-01-12T00:00:00"/>
        <d v="2023-01-15T00:00:00"/>
        <d v="2023-01-20T00:00:00"/>
        <d v="2023-01-25T00:00:00"/>
        <d v="2023-02-15T00:00:00"/>
        <d v="2023-02-18T00:00:00"/>
        <d v="2023-02-22T00:00:00"/>
        <d v="2023-02-25T00:00:00"/>
        <d v="2023-03-10T00:00:00"/>
        <d v="2023-03-12T00:00:00"/>
        <d v="2023-03-15T00:00:00"/>
        <d v="2023-03-18T00:00:00"/>
        <d v="2023-04-05T00:00:00"/>
        <d v="2023-04-08T00:00:00"/>
        <d v="2023-04-12T00:00:00"/>
        <d v="2023-04-15T00:00:00"/>
        <d v="2023-05-12T00:00:00"/>
        <d v="2023-05-15T00:00:00"/>
        <d v="2023-05-18T00:00:00"/>
        <d v="2023-05-22T00:00:00"/>
        <d v="2023-06-20T00:00:00"/>
        <d v="2023-06-22T00:00:00"/>
        <d v="2023-06-25T00:00:00"/>
        <d v="2023-06-28T00:00:00"/>
        <d v="2023-07-22T00:00:00"/>
        <d v="2023-07-25T00:00:00"/>
        <d v="2023-07-28T00:00:00"/>
        <d v="2023-07-30T00:00:00"/>
        <d v="2023-08-08T00:00:00"/>
        <d v="2023-08-10T00:00:00"/>
        <d v="2023-08-14T00:00:00"/>
        <d v="2023-08-18T00:00:00"/>
        <d v="2023-09-14T00:00:00"/>
        <d v="2023-09-16T00:00:00"/>
        <d v="2023-09-20T00:00:00"/>
        <d v="2023-09-25T00:00:00"/>
        <d v="2023-10-01T00:00:00"/>
        <d v="2023-10-05T00:00:00"/>
        <d v="2023-10-10T00:00:00"/>
        <d v="2023-10-15T00:00:00"/>
        <d v="2023-11-11T00:00:00"/>
        <d v="2023-11-15T00:00:00"/>
        <d v="2023-11-18T00:00:00"/>
        <d v="2023-11-22T00:00:00"/>
        <d v="2023-12-25T00:00:00"/>
        <d v="2023-12-28T00:00:00"/>
        <d v="2023-12-30T00:00:00"/>
        <d v="2024-01-05T00:00:00"/>
        <d v="2024-01-10T00:00:00"/>
        <d v="2024-01-12T00:00:00"/>
        <d v="2024-01-15T00:00:00"/>
        <d v="2024-01-18T00:00:00"/>
        <d v="2024-02-14T00:00:00"/>
        <d v="2024-02-18T00:00:00"/>
        <d v="2024-02-22T00:00:00"/>
        <d v="2024-02-25T00:00:00"/>
        <d v="2024-03-05T00:00:00"/>
        <d v="2024-03-08T00:00:00"/>
        <d v="2024-03-12T00:00:00"/>
        <d v="2024-03-15T00:00:00"/>
        <d v="2024-04-18T00:00:00"/>
        <d v="2024-04-20T00:00:00"/>
        <d v="2024-04-25T00:00:00"/>
        <d v="2024-04-28T00:00:00"/>
        <d v="2024-05-22T00:00:00"/>
        <d v="2024-05-25T00:00:00"/>
        <d v="2024-05-28T00:00:00"/>
        <d v="2024-05-30T00:00:00"/>
        <d v="2024-06-07T00:00:00"/>
        <d v="2024-06-10T00:00:00"/>
        <d v="2024-06-15T00:00:00"/>
        <d v="2024-06-20T00:00:00"/>
        <d v="2024-07-19T00:00:00"/>
        <d v="2024-07-22T00:00:00"/>
        <d v="2024-07-25T00:00:00"/>
        <d v="2024-07-28T00:00:00"/>
        <d v="2024-08-30T00:00:00"/>
        <d v="2024-09-02T00:00:00"/>
        <d v="2024-09-05T00:00:00"/>
        <d v="2024-09-10T00:00:00"/>
        <d v="2024-09-12T00:00:00"/>
        <d v="2024-09-15T00:00:00"/>
        <d v="2024-09-18T00:00:00"/>
        <d v="2024-09-22T00:00:00"/>
        <d v="2024-10-25T00:00:00"/>
        <d v="2024-10-28T00:00:00"/>
        <d v="2024-10-30T00:00:00"/>
        <d v="2024-11-02T00:00:00"/>
        <d v="2024-11-05T00:00:00"/>
        <d v="2024-11-08T00:00:00"/>
        <d v="2024-11-12T00:00:00"/>
        <d v="2024-12-12T00:00:00"/>
        <d v="2024-12-15T00:00:00"/>
        <d v="2024-12-18T00:00:00"/>
        <d v="2024-12-22T00:00:00"/>
        <d v="2025-01-05T00:00:00"/>
        <d v="2025-01-08T00:00:00"/>
        <d v="2025-01-12T00:00:00"/>
        <d v="2025-01-15T00:00:00"/>
      </sharedItems>
      <fieldGroup par="14"/>
    </cacheField>
    <cacheField name="Quantity" numFmtId="0">
      <sharedItems containsSemiMixedTypes="0" containsString="0" containsNumber="1" containsInteger="1" minValue="1" maxValue="10"/>
    </cacheField>
    <cacheField name="Total Harga" numFmtId="166">
      <sharedItems containsSemiMixedTypes="0" containsString="0" containsNumber="1" containsInteger="1" minValue="150000" maxValue="25000000"/>
    </cacheField>
    <cacheField name="Member" numFmtId="0">
      <sharedItems count="2">
        <s v="Ya"/>
        <s v="Tidak"/>
      </sharedItems>
    </cacheField>
    <cacheField name="Status Diskon" numFmtId="0">
      <sharedItems count="2">
        <s v="10%"/>
        <s v="0%"/>
      </sharedItems>
    </cacheField>
    <cacheField name="Nominal Diskon" numFmtId="167">
      <sharedItems containsSemiMixedTypes="0" containsString="0" containsNumber="1" containsInteger="1" minValue="0" maxValue="2500000"/>
    </cacheField>
    <cacheField name="Total Bayar" numFmtId="164">
      <sharedItems containsSemiMixedTypes="0" containsString="0" containsNumber="1" containsInteger="1" minValue="150000" maxValue="25000000"/>
    </cacheField>
    <cacheField name="Months (Tanggal Beli)" numFmtId="0" databaseField="0">
      <fieldGroup base="6">
        <rangePr groupBy="months" startDate="2023-01-12T00:00:00" endDate="2025-01-16T00:00:00"/>
        <groupItems count="14">
          <s v="&lt;12/01/2023"/>
          <s v="Jan"/>
          <s v="Feb"/>
          <s v="Mar"/>
          <s v="Apr"/>
          <s v="May"/>
          <s v="Jun"/>
          <s v="Jul"/>
          <s v="Aug"/>
          <s v="Sep"/>
          <s v="Oct"/>
          <s v="Nov"/>
          <s v="Dec"/>
          <s v="&gt;16/01/2025"/>
        </groupItems>
      </fieldGroup>
    </cacheField>
    <cacheField name="Years (Tanggal Beli)" numFmtId="0" databaseField="0">
      <fieldGroup base="6">
        <rangePr groupBy="years" startDate="2023-01-12T00:00:00" endDate="2025-01-16T00:00:00"/>
        <groupItems count="5">
          <s v="&lt;12/01/2023"/>
          <s v="2023"/>
          <s v="2024"/>
          <s v="2025"/>
          <s v="&gt;16/01/2025"/>
        </groupItems>
      </fieldGroup>
    </cacheField>
  </cacheFields>
  <extLst>
    <ext xmlns:x14="http://schemas.microsoft.com/office/spreadsheetml/2009/9/main" uri="{725AE2AE-9491-48be-B2B4-4EB974FC3084}">
      <x14:pivotCacheDefinition pivotCacheId="1944501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RX-001"/>
    <x v="0"/>
    <s v="P-01"/>
    <x v="0"/>
    <n v="12500000"/>
    <x v="0"/>
    <x v="0"/>
    <n v="2"/>
    <n v="25000000"/>
    <x v="0"/>
    <x v="0"/>
    <n v="2500000"/>
    <n v="22500000"/>
  </r>
  <r>
    <s v="TRX-026"/>
    <x v="0"/>
    <s v="P-02"/>
    <x v="1"/>
    <n v="150000"/>
    <x v="1"/>
    <x v="1"/>
    <n v="1"/>
    <n v="150000"/>
    <x v="0"/>
    <x v="1"/>
    <n v="0"/>
    <n v="150000"/>
  </r>
  <r>
    <s v="TRX-051"/>
    <x v="0"/>
    <s v="P-03"/>
    <x v="2"/>
    <n v="450000"/>
    <x v="1"/>
    <x v="2"/>
    <n v="1"/>
    <n v="450000"/>
    <x v="0"/>
    <x v="1"/>
    <n v="0"/>
    <n v="450000"/>
  </r>
  <r>
    <s v="TRX-076"/>
    <x v="0"/>
    <s v="P-04"/>
    <x v="3"/>
    <n v="2100000"/>
    <x v="0"/>
    <x v="3"/>
    <n v="1"/>
    <n v="2100000"/>
    <x v="0"/>
    <x v="0"/>
    <n v="210000"/>
    <n v="1890000"/>
  </r>
  <r>
    <s v="TRX-002"/>
    <x v="1"/>
    <s v="P-02"/>
    <x v="1"/>
    <n v="150000"/>
    <x v="1"/>
    <x v="4"/>
    <n v="1"/>
    <n v="150000"/>
    <x v="1"/>
    <x v="1"/>
    <n v="0"/>
    <n v="150000"/>
  </r>
  <r>
    <s v="TRX-027"/>
    <x v="1"/>
    <s v="P-03"/>
    <x v="2"/>
    <n v="450000"/>
    <x v="1"/>
    <x v="5"/>
    <n v="2"/>
    <n v="900000"/>
    <x v="1"/>
    <x v="1"/>
    <n v="0"/>
    <n v="900000"/>
  </r>
  <r>
    <s v="TRX-052"/>
    <x v="1"/>
    <s v="P-04"/>
    <x v="3"/>
    <n v="2100000"/>
    <x v="0"/>
    <x v="6"/>
    <n v="2"/>
    <n v="4200000"/>
    <x v="1"/>
    <x v="1"/>
    <n v="0"/>
    <n v="4200000"/>
  </r>
  <r>
    <s v="TRX-077"/>
    <x v="1"/>
    <s v="P-05"/>
    <x v="4"/>
    <n v="95000"/>
    <x v="1"/>
    <x v="7"/>
    <n v="7"/>
    <n v="665000"/>
    <x v="1"/>
    <x v="1"/>
    <n v="0"/>
    <n v="665000"/>
  </r>
  <r>
    <s v="TRX-003"/>
    <x v="2"/>
    <s v="P-03"/>
    <x v="2"/>
    <n v="450000"/>
    <x v="1"/>
    <x v="8"/>
    <n v="3"/>
    <n v="1350000"/>
    <x v="0"/>
    <x v="0"/>
    <n v="135000"/>
    <n v="1215000"/>
  </r>
  <r>
    <s v="TRX-028"/>
    <x v="2"/>
    <s v="P-04"/>
    <x v="3"/>
    <n v="2100000"/>
    <x v="0"/>
    <x v="9"/>
    <n v="1"/>
    <n v="2100000"/>
    <x v="0"/>
    <x v="0"/>
    <n v="210000"/>
    <n v="1890000"/>
  </r>
  <r>
    <s v="TRX-053"/>
    <x v="2"/>
    <s v="P-05"/>
    <x v="4"/>
    <n v="95000"/>
    <x v="1"/>
    <x v="10"/>
    <n v="6"/>
    <n v="570000"/>
    <x v="0"/>
    <x v="1"/>
    <n v="0"/>
    <n v="570000"/>
  </r>
  <r>
    <s v="TRX-078"/>
    <x v="2"/>
    <s v="P-01"/>
    <x v="0"/>
    <n v="12500000"/>
    <x v="0"/>
    <x v="11"/>
    <n v="1"/>
    <n v="12500000"/>
    <x v="0"/>
    <x v="0"/>
    <n v="1250000"/>
    <n v="11250000"/>
  </r>
  <r>
    <s v="TRX-004"/>
    <x v="3"/>
    <s v="P-01"/>
    <x v="0"/>
    <n v="12500000"/>
    <x v="0"/>
    <x v="12"/>
    <n v="1"/>
    <n v="12500000"/>
    <x v="1"/>
    <x v="1"/>
    <n v="0"/>
    <n v="12500000"/>
  </r>
  <r>
    <s v="TRX-029"/>
    <x v="3"/>
    <s v="P-05"/>
    <x v="4"/>
    <n v="95000"/>
    <x v="1"/>
    <x v="13"/>
    <n v="4"/>
    <n v="380000"/>
    <x v="1"/>
    <x v="1"/>
    <n v="0"/>
    <n v="380000"/>
  </r>
  <r>
    <s v="TRX-054"/>
    <x v="3"/>
    <s v="P-01"/>
    <x v="0"/>
    <n v="12500000"/>
    <x v="0"/>
    <x v="14"/>
    <n v="1"/>
    <n v="12500000"/>
    <x v="1"/>
    <x v="1"/>
    <n v="0"/>
    <n v="12500000"/>
  </r>
  <r>
    <s v="TRX-079"/>
    <x v="3"/>
    <s v="P-02"/>
    <x v="1"/>
    <n v="150000"/>
    <x v="1"/>
    <x v="15"/>
    <n v="3"/>
    <n v="450000"/>
    <x v="1"/>
    <x v="1"/>
    <n v="0"/>
    <n v="450000"/>
  </r>
  <r>
    <s v="TRX-005"/>
    <x v="4"/>
    <s v="P-04"/>
    <x v="3"/>
    <n v="2100000"/>
    <x v="0"/>
    <x v="16"/>
    <n v="2"/>
    <n v="4200000"/>
    <x v="0"/>
    <x v="0"/>
    <n v="420000"/>
    <n v="3780000"/>
  </r>
  <r>
    <s v="TRX-030"/>
    <x v="4"/>
    <s v="P-01"/>
    <x v="0"/>
    <n v="12500000"/>
    <x v="0"/>
    <x v="17"/>
    <n v="2"/>
    <n v="25000000"/>
    <x v="0"/>
    <x v="0"/>
    <n v="2500000"/>
    <n v="22500000"/>
  </r>
  <r>
    <s v="TRX-055"/>
    <x v="4"/>
    <s v="P-02"/>
    <x v="1"/>
    <n v="150000"/>
    <x v="1"/>
    <x v="18"/>
    <n v="3"/>
    <n v="450000"/>
    <x v="0"/>
    <x v="1"/>
    <n v="0"/>
    <n v="450000"/>
  </r>
  <r>
    <s v="TRX-080"/>
    <x v="4"/>
    <s v="P-03"/>
    <x v="2"/>
    <n v="450000"/>
    <x v="1"/>
    <x v="19"/>
    <n v="2"/>
    <n v="900000"/>
    <x v="0"/>
    <x v="1"/>
    <n v="0"/>
    <n v="900000"/>
  </r>
  <r>
    <s v="TRX-006"/>
    <x v="5"/>
    <s v="P-05"/>
    <x v="4"/>
    <n v="95000"/>
    <x v="1"/>
    <x v="20"/>
    <n v="5"/>
    <n v="475000"/>
    <x v="1"/>
    <x v="1"/>
    <n v="0"/>
    <n v="475000"/>
  </r>
  <r>
    <s v="TRX-031"/>
    <x v="5"/>
    <s v="P-02"/>
    <x v="1"/>
    <n v="150000"/>
    <x v="1"/>
    <x v="21"/>
    <n v="3"/>
    <n v="450000"/>
    <x v="1"/>
    <x v="1"/>
    <n v="0"/>
    <n v="450000"/>
  </r>
  <r>
    <s v="TRX-056"/>
    <x v="5"/>
    <s v="P-03"/>
    <x v="2"/>
    <n v="450000"/>
    <x v="1"/>
    <x v="22"/>
    <n v="1"/>
    <n v="450000"/>
    <x v="1"/>
    <x v="1"/>
    <n v="0"/>
    <n v="450000"/>
  </r>
  <r>
    <s v="TRX-081"/>
    <x v="5"/>
    <s v="P-04"/>
    <x v="3"/>
    <n v="2100000"/>
    <x v="0"/>
    <x v="23"/>
    <n v="1"/>
    <n v="2100000"/>
    <x v="1"/>
    <x v="1"/>
    <n v="0"/>
    <n v="2100000"/>
  </r>
  <r>
    <s v="TRX-007"/>
    <x v="6"/>
    <s v="P-02"/>
    <x v="1"/>
    <n v="150000"/>
    <x v="1"/>
    <x v="24"/>
    <n v="10"/>
    <n v="1500000"/>
    <x v="0"/>
    <x v="0"/>
    <n v="150000"/>
    <n v="1350000"/>
  </r>
  <r>
    <s v="TRX-032"/>
    <x v="6"/>
    <s v="P-03"/>
    <x v="2"/>
    <n v="450000"/>
    <x v="1"/>
    <x v="25"/>
    <n v="1"/>
    <n v="450000"/>
    <x v="0"/>
    <x v="1"/>
    <n v="0"/>
    <n v="450000"/>
  </r>
  <r>
    <s v="TRX-057"/>
    <x v="6"/>
    <s v="P-04"/>
    <x v="3"/>
    <n v="2100000"/>
    <x v="0"/>
    <x v="26"/>
    <n v="2"/>
    <n v="4200000"/>
    <x v="0"/>
    <x v="0"/>
    <n v="420000"/>
    <n v="3780000"/>
  </r>
  <r>
    <s v="TRX-082"/>
    <x v="6"/>
    <s v="P-05"/>
    <x v="4"/>
    <n v="95000"/>
    <x v="1"/>
    <x v="27"/>
    <n v="4"/>
    <n v="380000"/>
    <x v="0"/>
    <x v="1"/>
    <n v="0"/>
    <n v="380000"/>
  </r>
  <r>
    <s v="TRX-008"/>
    <x v="7"/>
    <s v="P-03"/>
    <x v="2"/>
    <n v="450000"/>
    <x v="1"/>
    <x v="28"/>
    <n v="2"/>
    <n v="900000"/>
    <x v="1"/>
    <x v="1"/>
    <n v="0"/>
    <n v="900000"/>
  </r>
  <r>
    <s v="TRX-033"/>
    <x v="7"/>
    <s v="P-04"/>
    <x v="3"/>
    <n v="2100000"/>
    <x v="0"/>
    <x v="29"/>
    <n v="2"/>
    <n v="4200000"/>
    <x v="1"/>
    <x v="1"/>
    <n v="0"/>
    <n v="4200000"/>
  </r>
  <r>
    <s v="TRX-058"/>
    <x v="7"/>
    <s v="P-05"/>
    <x v="4"/>
    <n v="95000"/>
    <x v="1"/>
    <x v="30"/>
    <n v="5"/>
    <n v="475000"/>
    <x v="1"/>
    <x v="1"/>
    <n v="0"/>
    <n v="475000"/>
  </r>
  <r>
    <s v="TRX-083"/>
    <x v="7"/>
    <s v="P-01"/>
    <x v="0"/>
    <n v="12500000"/>
    <x v="0"/>
    <x v="31"/>
    <n v="2"/>
    <n v="25000000"/>
    <x v="1"/>
    <x v="1"/>
    <n v="0"/>
    <n v="25000000"/>
  </r>
  <r>
    <s v="TRX-009"/>
    <x v="8"/>
    <s v="P-04"/>
    <x v="3"/>
    <n v="2100000"/>
    <x v="0"/>
    <x v="32"/>
    <n v="1"/>
    <n v="2100000"/>
    <x v="0"/>
    <x v="0"/>
    <n v="210000"/>
    <n v="1890000"/>
  </r>
  <r>
    <s v="TRX-034"/>
    <x v="8"/>
    <s v="P-05"/>
    <x v="4"/>
    <n v="95000"/>
    <x v="1"/>
    <x v="33"/>
    <n v="5"/>
    <n v="475000"/>
    <x v="0"/>
    <x v="1"/>
    <n v="0"/>
    <n v="475000"/>
  </r>
  <r>
    <s v="TRX-059"/>
    <x v="8"/>
    <s v="P-01"/>
    <x v="0"/>
    <n v="12500000"/>
    <x v="0"/>
    <x v="34"/>
    <n v="1"/>
    <n v="12500000"/>
    <x v="0"/>
    <x v="0"/>
    <n v="1250000"/>
    <n v="11250000"/>
  </r>
  <r>
    <s v="TRX-084"/>
    <x v="8"/>
    <s v="P-02"/>
    <x v="1"/>
    <n v="150000"/>
    <x v="1"/>
    <x v="35"/>
    <n v="5"/>
    <n v="750000"/>
    <x v="0"/>
    <x v="1"/>
    <n v="0"/>
    <n v="750000"/>
  </r>
  <r>
    <s v="TRX-010"/>
    <x v="9"/>
    <s v="P-05"/>
    <x v="4"/>
    <n v="95000"/>
    <x v="1"/>
    <x v="36"/>
    <n v="3"/>
    <n v="285000"/>
    <x v="1"/>
    <x v="1"/>
    <n v="0"/>
    <n v="285000"/>
  </r>
  <r>
    <s v="TRX-035"/>
    <x v="9"/>
    <s v="P-01"/>
    <x v="0"/>
    <n v="12500000"/>
    <x v="0"/>
    <x v="37"/>
    <n v="1"/>
    <n v="12500000"/>
    <x v="1"/>
    <x v="1"/>
    <n v="0"/>
    <n v="12500000"/>
  </r>
  <r>
    <s v="TRX-060"/>
    <x v="9"/>
    <s v="P-02"/>
    <x v="1"/>
    <n v="150000"/>
    <x v="1"/>
    <x v="38"/>
    <n v="4"/>
    <n v="600000"/>
    <x v="1"/>
    <x v="1"/>
    <n v="0"/>
    <n v="600000"/>
  </r>
  <r>
    <s v="TRX-085"/>
    <x v="9"/>
    <s v="P-03"/>
    <x v="2"/>
    <n v="450000"/>
    <x v="1"/>
    <x v="39"/>
    <n v="1"/>
    <n v="450000"/>
    <x v="1"/>
    <x v="1"/>
    <n v="0"/>
    <n v="450000"/>
  </r>
  <r>
    <s v="TRX-011"/>
    <x v="10"/>
    <s v="P-01"/>
    <x v="0"/>
    <n v="12500000"/>
    <x v="0"/>
    <x v="40"/>
    <n v="1"/>
    <n v="12500000"/>
    <x v="0"/>
    <x v="0"/>
    <n v="1250000"/>
    <n v="11250000"/>
  </r>
  <r>
    <s v="TRX-036"/>
    <x v="10"/>
    <s v="P-02"/>
    <x v="1"/>
    <n v="150000"/>
    <x v="1"/>
    <x v="41"/>
    <n v="2"/>
    <n v="300000"/>
    <x v="0"/>
    <x v="1"/>
    <n v="0"/>
    <n v="300000"/>
  </r>
  <r>
    <s v="TRX-061"/>
    <x v="10"/>
    <s v="P-03"/>
    <x v="2"/>
    <n v="450000"/>
    <x v="1"/>
    <x v="42"/>
    <n v="2"/>
    <n v="900000"/>
    <x v="0"/>
    <x v="1"/>
    <n v="0"/>
    <n v="900000"/>
  </r>
  <r>
    <s v="TRX-086"/>
    <x v="10"/>
    <s v="P-04"/>
    <x v="3"/>
    <n v="2100000"/>
    <x v="0"/>
    <x v="43"/>
    <n v="2"/>
    <n v="4200000"/>
    <x v="0"/>
    <x v="0"/>
    <n v="420000"/>
    <n v="3780000"/>
  </r>
  <r>
    <s v="TRX-012"/>
    <x v="11"/>
    <s v="P-02"/>
    <x v="1"/>
    <n v="150000"/>
    <x v="1"/>
    <x v="44"/>
    <n v="4"/>
    <n v="600000"/>
    <x v="1"/>
    <x v="1"/>
    <n v="0"/>
    <n v="600000"/>
  </r>
  <r>
    <s v="TRX-037"/>
    <x v="11"/>
    <s v="P-03"/>
    <x v="2"/>
    <n v="450000"/>
    <x v="1"/>
    <x v="45"/>
    <n v="1"/>
    <n v="450000"/>
    <x v="1"/>
    <x v="1"/>
    <n v="0"/>
    <n v="450000"/>
  </r>
  <r>
    <s v="TRX-062"/>
    <x v="11"/>
    <s v="P-04"/>
    <x v="3"/>
    <n v="2100000"/>
    <x v="0"/>
    <x v="46"/>
    <n v="1"/>
    <n v="2100000"/>
    <x v="1"/>
    <x v="1"/>
    <n v="0"/>
    <n v="2100000"/>
  </r>
  <r>
    <s v="TRX-087"/>
    <x v="11"/>
    <s v="P-05"/>
    <x v="4"/>
    <n v="95000"/>
    <x v="1"/>
    <x v="47"/>
    <n v="3"/>
    <n v="285000"/>
    <x v="1"/>
    <x v="1"/>
    <n v="0"/>
    <n v="285000"/>
  </r>
  <r>
    <s v="TRX-013"/>
    <x v="12"/>
    <s v="P-03"/>
    <x v="2"/>
    <n v="450000"/>
    <x v="1"/>
    <x v="48"/>
    <n v="2"/>
    <n v="900000"/>
    <x v="0"/>
    <x v="1"/>
    <n v="0"/>
    <n v="900000"/>
  </r>
  <r>
    <s v="TRX-038"/>
    <x v="12"/>
    <s v="P-04"/>
    <x v="3"/>
    <n v="2100000"/>
    <x v="0"/>
    <x v="49"/>
    <n v="3"/>
    <n v="6300000"/>
    <x v="0"/>
    <x v="0"/>
    <n v="630000"/>
    <n v="5670000"/>
  </r>
  <r>
    <s v="TRX-063"/>
    <x v="12"/>
    <s v="P-05"/>
    <x v="4"/>
    <n v="95000"/>
    <x v="1"/>
    <x v="50"/>
    <n v="3"/>
    <n v="285000"/>
    <x v="0"/>
    <x v="1"/>
    <n v="0"/>
    <n v="285000"/>
  </r>
  <r>
    <s v="TRX-088"/>
    <x v="12"/>
    <s v="P-01"/>
    <x v="0"/>
    <n v="12500000"/>
    <x v="0"/>
    <x v="51"/>
    <n v="1"/>
    <n v="12500000"/>
    <x v="0"/>
    <x v="0"/>
    <n v="1250000"/>
    <n v="11250000"/>
  </r>
  <r>
    <s v="TRX-014"/>
    <x v="13"/>
    <s v="P-04"/>
    <x v="3"/>
    <n v="2100000"/>
    <x v="0"/>
    <x v="52"/>
    <n v="1"/>
    <n v="2100000"/>
    <x v="1"/>
    <x v="1"/>
    <n v="0"/>
    <n v="2100000"/>
  </r>
  <r>
    <s v="TRX-039"/>
    <x v="13"/>
    <s v="P-05"/>
    <x v="4"/>
    <n v="95000"/>
    <x v="1"/>
    <x v="53"/>
    <n v="2"/>
    <n v="190000"/>
    <x v="1"/>
    <x v="1"/>
    <n v="0"/>
    <n v="190000"/>
  </r>
  <r>
    <s v="TRX-064"/>
    <x v="13"/>
    <s v="P-01"/>
    <x v="0"/>
    <n v="12500000"/>
    <x v="0"/>
    <x v="54"/>
    <n v="1"/>
    <n v="12500000"/>
    <x v="1"/>
    <x v="1"/>
    <n v="0"/>
    <n v="12500000"/>
  </r>
  <r>
    <s v="TRX-089"/>
    <x v="13"/>
    <s v="P-02"/>
    <x v="1"/>
    <n v="150000"/>
    <x v="1"/>
    <x v="55"/>
    <n v="4"/>
    <n v="600000"/>
    <x v="1"/>
    <x v="1"/>
    <n v="0"/>
    <n v="600000"/>
  </r>
  <r>
    <s v="TRX-015"/>
    <x v="14"/>
    <s v="P-05"/>
    <x v="4"/>
    <n v="95000"/>
    <x v="1"/>
    <x v="56"/>
    <n v="8"/>
    <n v="760000"/>
    <x v="0"/>
    <x v="1"/>
    <n v="0"/>
    <n v="760000"/>
  </r>
  <r>
    <s v="TRX-040"/>
    <x v="14"/>
    <s v="P-01"/>
    <x v="0"/>
    <n v="12500000"/>
    <x v="0"/>
    <x v="57"/>
    <n v="1"/>
    <n v="12500000"/>
    <x v="0"/>
    <x v="0"/>
    <n v="1250000"/>
    <n v="11250000"/>
  </r>
  <r>
    <s v="TRX-065"/>
    <x v="14"/>
    <s v="P-02"/>
    <x v="1"/>
    <n v="150000"/>
    <x v="1"/>
    <x v="58"/>
    <n v="5"/>
    <n v="750000"/>
    <x v="0"/>
    <x v="1"/>
    <n v="0"/>
    <n v="750000"/>
  </r>
  <r>
    <s v="TRX-090"/>
    <x v="14"/>
    <s v="P-03"/>
    <x v="2"/>
    <n v="450000"/>
    <x v="1"/>
    <x v="59"/>
    <n v="2"/>
    <n v="900000"/>
    <x v="0"/>
    <x v="1"/>
    <n v="0"/>
    <n v="900000"/>
  </r>
  <r>
    <s v="TRX-016"/>
    <x v="15"/>
    <s v="P-01"/>
    <x v="0"/>
    <n v="12500000"/>
    <x v="0"/>
    <x v="60"/>
    <n v="1"/>
    <n v="12500000"/>
    <x v="1"/>
    <x v="1"/>
    <n v="0"/>
    <n v="12500000"/>
  </r>
  <r>
    <s v="TRX-041"/>
    <x v="15"/>
    <s v="P-02"/>
    <x v="1"/>
    <n v="150000"/>
    <x v="1"/>
    <x v="61"/>
    <n v="4"/>
    <n v="600000"/>
    <x v="1"/>
    <x v="1"/>
    <n v="0"/>
    <n v="600000"/>
  </r>
  <r>
    <s v="TRX-066"/>
    <x v="15"/>
    <s v="P-03"/>
    <x v="2"/>
    <n v="450000"/>
    <x v="1"/>
    <x v="62"/>
    <n v="1"/>
    <n v="450000"/>
    <x v="1"/>
    <x v="1"/>
    <n v="0"/>
    <n v="450000"/>
  </r>
  <r>
    <s v="TRX-091"/>
    <x v="15"/>
    <s v="P-04"/>
    <x v="3"/>
    <n v="2100000"/>
    <x v="0"/>
    <x v="63"/>
    <n v="1"/>
    <n v="2100000"/>
    <x v="1"/>
    <x v="1"/>
    <n v="0"/>
    <n v="2100000"/>
  </r>
  <r>
    <s v="TRX-017"/>
    <x v="16"/>
    <s v="P-02"/>
    <x v="1"/>
    <n v="150000"/>
    <x v="1"/>
    <x v="64"/>
    <n v="2"/>
    <n v="300000"/>
    <x v="0"/>
    <x v="1"/>
    <n v="0"/>
    <n v="300000"/>
  </r>
  <r>
    <s v="TRX-042"/>
    <x v="16"/>
    <s v="P-03"/>
    <x v="2"/>
    <n v="450000"/>
    <x v="1"/>
    <x v="65"/>
    <n v="1"/>
    <n v="450000"/>
    <x v="0"/>
    <x v="1"/>
    <n v="0"/>
    <n v="450000"/>
  </r>
  <r>
    <s v="TRX-067"/>
    <x v="16"/>
    <s v="P-04"/>
    <x v="3"/>
    <n v="2100000"/>
    <x v="0"/>
    <x v="66"/>
    <n v="2"/>
    <n v="4200000"/>
    <x v="0"/>
    <x v="0"/>
    <n v="420000"/>
    <n v="3780000"/>
  </r>
  <r>
    <s v="TRX-092"/>
    <x v="16"/>
    <s v="P-05"/>
    <x v="4"/>
    <n v="95000"/>
    <x v="1"/>
    <x v="67"/>
    <n v="6"/>
    <n v="570000"/>
    <x v="0"/>
    <x v="1"/>
    <n v="0"/>
    <n v="570000"/>
  </r>
  <r>
    <s v="TRX-018"/>
    <x v="17"/>
    <s v="P-03"/>
    <x v="2"/>
    <n v="450000"/>
    <x v="1"/>
    <x v="68"/>
    <n v="1"/>
    <n v="450000"/>
    <x v="1"/>
    <x v="1"/>
    <n v="0"/>
    <n v="450000"/>
  </r>
  <r>
    <s v="TRX-043"/>
    <x v="17"/>
    <s v="P-04"/>
    <x v="3"/>
    <n v="2100000"/>
    <x v="0"/>
    <x v="69"/>
    <n v="2"/>
    <n v="4200000"/>
    <x v="1"/>
    <x v="1"/>
    <n v="0"/>
    <n v="4200000"/>
  </r>
  <r>
    <s v="TRX-068"/>
    <x v="17"/>
    <s v="P-05"/>
    <x v="4"/>
    <n v="95000"/>
    <x v="1"/>
    <x v="70"/>
    <n v="4"/>
    <n v="380000"/>
    <x v="1"/>
    <x v="1"/>
    <n v="0"/>
    <n v="380000"/>
  </r>
  <r>
    <s v="TRX-093"/>
    <x v="17"/>
    <s v="P-01"/>
    <x v="0"/>
    <n v="12500000"/>
    <x v="0"/>
    <x v="71"/>
    <n v="1"/>
    <n v="12500000"/>
    <x v="1"/>
    <x v="1"/>
    <n v="0"/>
    <n v="12500000"/>
  </r>
  <r>
    <s v="TRX-019"/>
    <x v="18"/>
    <s v="P-04"/>
    <x v="3"/>
    <n v="2100000"/>
    <x v="0"/>
    <x v="72"/>
    <n v="4"/>
    <n v="8400000"/>
    <x v="0"/>
    <x v="0"/>
    <n v="840000"/>
    <n v="7560000"/>
  </r>
  <r>
    <s v="TRX-044"/>
    <x v="18"/>
    <s v="P-05"/>
    <x v="4"/>
    <n v="95000"/>
    <x v="1"/>
    <x v="73"/>
    <n v="3"/>
    <n v="285000"/>
    <x v="0"/>
    <x v="1"/>
    <n v="0"/>
    <n v="285000"/>
  </r>
  <r>
    <s v="TRX-069"/>
    <x v="18"/>
    <s v="P-01"/>
    <x v="0"/>
    <n v="12500000"/>
    <x v="0"/>
    <x v="74"/>
    <n v="1"/>
    <n v="12500000"/>
    <x v="0"/>
    <x v="0"/>
    <n v="1250000"/>
    <n v="11250000"/>
  </r>
  <r>
    <s v="TRX-094"/>
    <x v="18"/>
    <s v="P-02"/>
    <x v="1"/>
    <n v="150000"/>
    <x v="1"/>
    <x v="75"/>
    <n v="3"/>
    <n v="450000"/>
    <x v="0"/>
    <x v="1"/>
    <n v="0"/>
    <n v="450000"/>
  </r>
  <r>
    <s v="TRX-020"/>
    <x v="19"/>
    <s v="P-05"/>
    <x v="4"/>
    <n v="95000"/>
    <x v="1"/>
    <x v="76"/>
    <n v="2"/>
    <n v="190000"/>
    <x v="1"/>
    <x v="1"/>
    <n v="0"/>
    <n v="190000"/>
  </r>
  <r>
    <s v="TRX-045"/>
    <x v="19"/>
    <s v="P-01"/>
    <x v="0"/>
    <n v="12500000"/>
    <x v="0"/>
    <x v="77"/>
    <n v="1"/>
    <n v="12500000"/>
    <x v="1"/>
    <x v="1"/>
    <n v="0"/>
    <n v="12500000"/>
  </r>
  <r>
    <s v="TRX-070"/>
    <x v="19"/>
    <s v="P-02"/>
    <x v="1"/>
    <n v="150000"/>
    <x v="1"/>
    <x v="78"/>
    <n v="3"/>
    <n v="450000"/>
    <x v="1"/>
    <x v="1"/>
    <n v="0"/>
    <n v="450000"/>
  </r>
  <r>
    <s v="TRX-095"/>
    <x v="19"/>
    <s v="P-03"/>
    <x v="2"/>
    <n v="450000"/>
    <x v="1"/>
    <x v="79"/>
    <n v="2"/>
    <n v="900000"/>
    <x v="1"/>
    <x v="1"/>
    <n v="0"/>
    <n v="900000"/>
  </r>
  <r>
    <s v="TRX-021"/>
    <x v="20"/>
    <s v="P-01"/>
    <x v="0"/>
    <n v="12500000"/>
    <x v="0"/>
    <x v="80"/>
    <n v="1"/>
    <n v="12500000"/>
    <x v="0"/>
    <x v="0"/>
    <n v="1250000"/>
    <n v="11250000"/>
  </r>
  <r>
    <s v="TRX-046"/>
    <x v="20"/>
    <s v="P-02"/>
    <x v="1"/>
    <n v="150000"/>
    <x v="1"/>
    <x v="81"/>
    <n v="5"/>
    <n v="750000"/>
    <x v="0"/>
    <x v="1"/>
    <n v="0"/>
    <n v="750000"/>
  </r>
  <r>
    <s v="TRX-071"/>
    <x v="20"/>
    <s v="P-03"/>
    <x v="2"/>
    <n v="450000"/>
    <x v="1"/>
    <x v="82"/>
    <n v="2"/>
    <n v="900000"/>
    <x v="0"/>
    <x v="1"/>
    <n v="0"/>
    <n v="900000"/>
  </r>
  <r>
    <s v="TRX-096"/>
    <x v="20"/>
    <s v="P-04"/>
    <x v="3"/>
    <n v="2100000"/>
    <x v="0"/>
    <x v="83"/>
    <n v="1"/>
    <n v="2100000"/>
    <x v="0"/>
    <x v="0"/>
    <n v="210000"/>
    <n v="1890000"/>
  </r>
  <r>
    <s v="TRX-022"/>
    <x v="21"/>
    <s v="P-02"/>
    <x v="1"/>
    <n v="150000"/>
    <x v="1"/>
    <x v="84"/>
    <n v="5"/>
    <n v="750000"/>
    <x v="1"/>
    <x v="1"/>
    <n v="0"/>
    <n v="750000"/>
  </r>
  <r>
    <s v="TRX-047"/>
    <x v="21"/>
    <s v="P-03"/>
    <x v="2"/>
    <n v="450000"/>
    <x v="1"/>
    <x v="85"/>
    <n v="2"/>
    <n v="900000"/>
    <x v="1"/>
    <x v="1"/>
    <n v="0"/>
    <n v="900000"/>
  </r>
  <r>
    <s v="TRX-072"/>
    <x v="21"/>
    <s v="P-04"/>
    <x v="3"/>
    <n v="2100000"/>
    <x v="0"/>
    <x v="86"/>
    <n v="1"/>
    <n v="2100000"/>
    <x v="1"/>
    <x v="1"/>
    <n v="0"/>
    <n v="2100000"/>
  </r>
  <r>
    <s v="TRX-023"/>
    <x v="22"/>
    <s v="P-03"/>
    <x v="2"/>
    <n v="450000"/>
    <x v="1"/>
    <x v="87"/>
    <n v="3"/>
    <n v="1350000"/>
    <x v="0"/>
    <x v="0"/>
    <n v="135000"/>
    <n v="1215000"/>
  </r>
  <r>
    <s v="TRX-048"/>
    <x v="22"/>
    <s v="P-04"/>
    <x v="3"/>
    <n v="2100000"/>
    <x v="0"/>
    <x v="88"/>
    <n v="1"/>
    <n v="2100000"/>
    <x v="0"/>
    <x v="0"/>
    <n v="210000"/>
    <n v="1890000"/>
  </r>
  <r>
    <s v="TRX-097"/>
    <x v="21"/>
    <s v="P-05"/>
    <x v="4"/>
    <n v="95000"/>
    <x v="1"/>
    <x v="88"/>
    <n v="5"/>
    <n v="475000"/>
    <x v="1"/>
    <x v="1"/>
    <n v="0"/>
    <n v="475000"/>
  </r>
  <r>
    <s v="TRX-073"/>
    <x v="22"/>
    <s v="P-05"/>
    <x v="4"/>
    <n v="95000"/>
    <x v="1"/>
    <x v="89"/>
    <n v="5"/>
    <n v="475000"/>
    <x v="0"/>
    <x v="1"/>
    <n v="0"/>
    <n v="475000"/>
  </r>
  <r>
    <s v="TRX-098"/>
    <x v="22"/>
    <s v="P-01"/>
    <x v="0"/>
    <n v="12500000"/>
    <x v="0"/>
    <x v="90"/>
    <n v="1"/>
    <n v="12500000"/>
    <x v="0"/>
    <x v="0"/>
    <n v="1250000"/>
    <n v="11250000"/>
  </r>
  <r>
    <s v="TRX-024"/>
    <x v="23"/>
    <s v="P-04"/>
    <x v="3"/>
    <n v="2100000"/>
    <x v="0"/>
    <x v="91"/>
    <n v="1"/>
    <n v="2100000"/>
    <x v="1"/>
    <x v="1"/>
    <n v="0"/>
    <n v="2100000"/>
  </r>
  <r>
    <s v="TRX-049"/>
    <x v="23"/>
    <s v="P-05"/>
    <x v="4"/>
    <n v="95000"/>
    <x v="1"/>
    <x v="92"/>
    <n v="4"/>
    <n v="380000"/>
    <x v="1"/>
    <x v="1"/>
    <n v="0"/>
    <n v="380000"/>
  </r>
  <r>
    <s v="TRX-074"/>
    <x v="23"/>
    <s v="P-01"/>
    <x v="0"/>
    <n v="12500000"/>
    <x v="0"/>
    <x v="93"/>
    <n v="1"/>
    <n v="12500000"/>
    <x v="1"/>
    <x v="1"/>
    <n v="0"/>
    <n v="12500000"/>
  </r>
  <r>
    <s v="TRX-099"/>
    <x v="23"/>
    <s v="P-02"/>
    <x v="1"/>
    <n v="150000"/>
    <x v="1"/>
    <x v="94"/>
    <n v="4"/>
    <n v="600000"/>
    <x v="1"/>
    <x v="1"/>
    <n v="0"/>
    <n v="600000"/>
  </r>
  <r>
    <s v="TRX-025"/>
    <x v="24"/>
    <s v="P-05"/>
    <x v="4"/>
    <n v="95000"/>
    <x v="1"/>
    <x v="95"/>
    <n v="10"/>
    <n v="950000"/>
    <x v="0"/>
    <x v="1"/>
    <n v="0"/>
    <n v="950000"/>
  </r>
  <r>
    <s v="TRX-050"/>
    <x v="24"/>
    <s v="P-01"/>
    <x v="0"/>
    <n v="12500000"/>
    <x v="0"/>
    <x v="96"/>
    <n v="2"/>
    <n v="25000000"/>
    <x v="0"/>
    <x v="0"/>
    <n v="2500000"/>
    <n v="22500000"/>
  </r>
  <r>
    <s v="TRX-075"/>
    <x v="24"/>
    <s v="P-02"/>
    <x v="1"/>
    <n v="150000"/>
    <x v="1"/>
    <x v="97"/>
    <n v="4"/>
    <n v="600000"/>
    <x v="0"/>
    <x v="1"/>
    <n v="0"/>
    <n v="600000"/>
  </r>
  <r>
    <s v="TRX-100"/>
    <x v="24"/>
    <s v="P-03"/>
    <x v="2"/>
    <n v="450000"/>
    <x v="1"/>
    <x v="98"/>
    <n v="2"/>
    <n v="900000"/>
    <x v="0"/>
    <x v="1"/>
    <n v="0"/>
    <n v="9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BB5DE4-E05E-4010-B668-0E5712D0134F}" name="TotalSales" cacheId="3"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24">
  <location ref="A4:C24" firstHeaderRow="1" firstDataRow="2" firstDataCol="2"/>
  <pivotFields count="15">
    <pivotField compact="0" outline="0" showAll="0" defaultSubtotal="0"/>
    <pivotField compact="0" outline="0" showAll="0" defaultSubtotal="0"/>
    <pivotField compact="0" outline="0" showAll="0" defaultSubtotal="0"/>
    <pivotField axis="axisCol" compact="0" outline="0" showAll="0" defaultSubtotal="0">
      <items count="5">
        <item x="4"/>
        <item h="1" x="2"/>
        <item h="1" x="0"/>
        <item h="1" x="3"/>
        <item h="1" x="1"/>
      </items>
    </pivotField>
    <pivotField compact="0" numFmtId="166" outline="0" showAll="0" defaultSubtotal="0"/>
    <pivotField compact="0" outline="0" showAll="0" defaultSubtotal="0"/>
    <pivotField compact="0" numFmtId="165" outline="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 compact="0" outline="0" showAll="0" defaultSubtotal="0"/>
    <pivotField compact="0" numFmtId="166" outline="0" showAll="0" defaultSubtotal="0"/>
    <pivotField compact="0" outline="0" showAll="0" defaultSubtotal="0">
      <items count="2">
        <item x="1"/>
        <item x="0"/>
      </items>
    </pivotField>
    <pivotField compact="0" outline="0" showAll="0" defaultSubtotal="0">
      <items count="2">
        <item x="1"/>
        <item x="0"/>
      </items>
    </pivotField>
    <pivotField compact="0" numFmtId="167" outline="0" showAll="0" defaultSubtotal="0"/>
    <pivotField dataField="1" compact="0" numFmtId="164" outline="0" showAll="0" defaultSubtotal="0"/>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5">
        <item x="0"/>
        <item x="1"/>
        <item x="2"/>
        <item x="3"/>
        <item x="4"/>
      </items>
    </pivotField>
  </pivotFields>
  <rowFields count="2">
    <field x="14"/>
    <field x="13"/>
  </rowFields>
  <rowItems count="19">
    <i>
      <x v="1"/>
      <x v="2"/>
    </i>
    <i r="1">
      <x v="3"/>
    </i>
    <i r="1">
      <x v="4"/>
    </i>
    <i r="1">
      <x v="6"/>
    </i>
    <i r="1">
      <x v="7"/>
    </i>
    <i r="1">
      <x v="8"/>
    </i>
    <i r="1">
      <x v="9"/>
    </i>
    <i r="1">
      <x v="10"/>
    </i>
    <i>
      <x v="2"/>
      <x v="1"/>
    </i>
    <i r="1">
      <x v="2"/>
    </i>
    <i r="1">
      <x v="3"/>
    </i>
    <i r="1">
      <x v="5"/>
    </i>
    <i r="1">
      <x v="6"/>
    </i>
    <i r="1">
      <x v="7"/>
    </i>
    <i r="1">
      <x v="8"/>
    </i>
    <i r="1">
      <x v="11"/>
    </i>
    <i r="1">
      <x v="12"/>
    </i>
    <i>
      <x v="3"/>
      <x v="1"/>
    </i>
    <i t="grand">
      <x/>
    </i>
  </rowItems>
  <colFields count="1">
    <field x="3"/>
  </colFields>
  <colItems count="1">
    <i>
      <x/>
    </i>
  </colItems>
  <dataFields count="1">
    <dataField name="Sum of Total Bayar" fld="12" baseField="0" baseItem="0" numFmtId="164"/>
  </dataFields>
  <formats count="33">
    <format dxfId="2302">
      <pivotArea type="all" dataOnly="0" outline="0" fieldPosition="0"/>
    </format>
    <format dxfId="2301">
      <pivotArea outline="0" collapsedLevelsAreSubtotals="1" fieldPosition="0"/>
    </format>
    <format dxfId="2300">
      <pivotArea type="origin" dataOnly="0" labelOnly="1" outline="0" fieldPosition="0"/>
    </format>
    <format dxfId="2299">
      <pivotArea field="3" type="button" dataOnly="0" labelOnly="1" outline="0" axis="axisCol" fieldPosition="0"/>
    </format>
    <format dxfId="2298">
      <pivotArea field="14" type="button" dataOnly="0" labelOnly="1" outline="0" axis="axisRow" fieldPosition="0"/>
    </format>
    <format dxfId="2297">
      <pivotArea field="13" type="button" dataOnly="0" labelOnly="1" outline="0" axis="axisRow" fieldPosition="1"/>
    </format>
    <format dxfId="2296">
      <pivotArea dataOnly="0" labelOnly="1" outline="0" fieldPosition="0">
        <references count="1">
          <reference field="14" count="1">
            <x v="1"/>
          </reference>
        </references>
      </pivotArea>
    </format>
    <format dxfId="2295">
      <pivotArea dataOnly="0" labelOnly="1" outline="0" fieldPosition="0">
        <references count="2">
          <reference field="13" count="2">
            <x v="3"/>
            <x v="4"/>
          </reference>
          <reference field="14" count="1" selected="0">
            <x v="1"/>
          </reference>
        </references>
      </pivotArea>
    </format>
    <format dxfId="2294">
      <pivotArea dataOnly="0" labelOnly="1" outline="0" fieldPosition="0">
        <references count="1">
          <reference field="3" count="0"/>
        </references>
      </pivotArea>
    </format>
    <format dxfId="2293">
      <pivotArea type="all" dataOnly="0" outline="0" fieldPosition="0"/>
    </format>
    <format dxfId="2292">
      <pivotArea outline="0" collapsedLevelsAreSubtotals="1" fieldPosition="0"/>
    </format>
    <format dxfId="2291">
      <pivotArea type="origin" dataOnly="0" labelOnly="1" outline="0" fieldPosition="0"/>
    </format>
    <format dxfId="2290">
      <pivotArea field="3" type="button" dataOnly="0" labelOnly="1" outline="0" axis="axisCol" fieldPosition="0"/>
    </format>
    <format dxfId="2289">
      <pivotArea field="14" type="button" dataOnly="0" labelOnly="1" outline="0" axis="axisRow" fieldPosition="0"/>
    </format>
    <format dxfId="2288">
      <pivotArea field="13" type="button" dataOnly="0" labelOnly="1" outline="0" axis="axisRow" fieldPosition="1"/>
    </format>
    <format dxfId="2287">
      <pivotArea dataOnly="0" labelOnly="1" outline="0" fieldPosition="0">
        <references count="1">
          <reference field="14" count="1">
            <x v="1"/>
          </reference>
        </references>
      </pivotArea>
    </format>
    <format dxfId="2286">
      <pivotArea dataOnly="0" labelOnly="1" outline="0" fieldPosition="0">
        <references count="2">
          <reference field="13" count="2">
            <x v="3"/>
            <x v="4"/>
          </reference>
          <reference field="14" count="1" selected="0">
            <x v="1"/>
          </reference>
        </references>
      </pivotArea>
    </format>
    <format dxfId="2285">
      <pivotArea dataOnly="0" labelOnly="1" outline="0" fieldPosition="0">
        <references count="1">
          <reference field="3" count="0"/>
        </references>
      </pivotArea>
    </format>
    <format dxfId="2204">
      <pivotArea type="origin" dataOnly="0" labelOnly="1" outline="0" fieldPosition="0"/>
    </format>
    <format dxfId="2203">
      <pivotArea field="3" type="button" dataOnly="0" labelOnly="1" outline="0" axis="axisCol" fieldPosition="0"/>
    </format>
    <format dxfId="2202">
      <pivotArea field="14" type="button" dataOnly="0" labelOnly="1" outline="0" axis="axisRow" fieldPosition="0"/>
    </format>
    <format dxfId="2201">
      <pivotArea field="13" type="button" dataOnly="0" labelOnly="1" outline="0" axis="axisRow" fieldPosition="1"/>
    </format>
    <format dxfId="2200">
      <pivotArea dataOnly="0" labelOnly="1" outline="0" fieldPosition="0">
        <references count="1">
          <reference field="3" count="0"/>
        </references>
      </pivotArea>
    </format>
    <format dxfId="2199">
      <pivotArea type="origin" dataOnly="0" labelOnly="1" outline="0" fieldPosition="0"/>
    </format>
    <format dxfId="2198">
      <pivotArea field="3" type="button" dataOnly="0" labelOnly="1" outline="0" axis="axisCol" fieldPosition="0"/>
    </format>
    <format dxfId="2197">
      <pivotArea field="14" type="button" dataOnly="0" labelOnly="1" outline="0" axis="axisRow" fieldPosition="0"/>
    </format>
    <format dxfId="2196">
      <pivotArea field="13" type="button" dataOnly="0" labelOnly="1" outline="0" axis="axisRow" fieldPosition="1"/>
    </format>
    <format dxfId="2195">
      <pivotArea dataOnly="0" labelOnly="1" outline="0" fieldPosition="0">
        <references count="1">
          <reference field="3" count="0"/>
        </references>
      </pivotArea>
    </format>
    <format dxfId="2191">
      <pivotArea type="origin" dataOnly="0" labelOnly="1" outline="0" fieldPosition="0"/>
    </format>
    <format dxfId="2190">
      <pivotArea field="3" type="button" dataOnly="0" labelOnly="1" outline="0" axis="axisCol" fieldPosition="0"/>
    </format>
    <format dxfId="2189">
      <pivotArea field="14" type="button" dataOnly="0" labelOnly="1" outline="0" axis="axisRow" fieldPosition="0"/>
    </format>
    <format dxfId="2188">
      <pivotArea field="13" type="button" dataOnly="0" labelOnly="1" outline="0" axis="axisRow" fieldPosition="1"/>
    </format>
    <format dxfId="2187">
      <pivotArea dataOnly="0" labelOnly="1" outline="0" fieldPosition="0">
        <references count="1">
          <reference field="3" count="0"/>
        </references>
      </pivotArea>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697881-0AEA-4540-86C9-26DC5330A351}" name="TotalSales" cacheId="3"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22">
  <location ref="A4:C25" firstHeaderRow="1" firstDataRow="2" firstDataCol="2"/>
  <pivotFields count="15">
    <pivotField compact="0" outline="0" showAll="0" defaultSubtotal="0"/>
    <pivotField compact="0" outline="0" showAll="0" defaultSubtotal="0"/>
    <pivotField compact="0" outline="0" showAll="0" defaultSubtotal="0"/>
    <pivotField axis="axisCol" compact="0" outline="0" showAll="0" defaultSubtotal="0">
      <items count="5">
        <item h="1" x="4"/>
        <item x="2"/>
        <item h="1" x="0"/>
        <item h="1" x="3"/>
        <item h="1" x="1"/>
      </items>
    </pivotField>
    <pivotField compact="0" numFmtId="166" outline="0" showAll="0" defaultSubtotal="0"/>
    <pivotField compact="0" outline="0" showAll="0" defaultSubtotal="0"/>
    <pivotField compact="0" numFmtId="165" outline="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 compact="0" outline="0" showAll="0" defaultSubtotal="0"/>
    <pivotField compact="0" numFmtId="166" outline="0" showAll="0" defaultSubtotal="0"/>
    <pivotField compact="0" outline="0" showAll="0" defaultSubtotal="0">
      <items count="2">
        <item x="1"/>
        <item x="0"/>
      </items>
    </pivotField>
    <pivotField compact="0" outline="0" showAll="0" defaultSubtotal="0">
      <items count="2">
        <item x="1"/>
        <item x="0"/>
      </items>
    </pivotField>
    <pivotField compact="0" numFmtId="167" outline="0" showAll="0" defaultSubtotal="0"/>
    <pivotField dataField="1" compact="0" numFmtId="164" outline="0" showAll="0" defaultSubtotal="0"/>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5">
        <item x="0"/>
        <item x="1"/>
        <item x="2"/>
        <item x="3"/>
        <item x="4"/>
      </items>
    </pivotField>
  </pivotFields>
  <rowFields count="2">
    <field x="14"/>
    <field x="13"/>
  </rowFields>
  <rowItems count="20">
    <i>
      <x v="1"/>
      <x v="1"/>
    </i>
    <i r="1">
      <x v="2"/>
    </i>
    <i r="1">
      <x v="3"/>
    </i>
    <i r="1">
      <x v="5"/>
    </i>
    <i r="1">
      <x v="6"/>
    </i>
    <i r="1">
      <x v="7"/>
    </i>
    <i r="1">
      <x v="8"/>
    </i>
    <i r="1">
      <x v="10"/>
    </i>
    <i r="1">
      <x v="11"/>
    </i>
    <i r="1">
      <x v="12"/>
    </i>
    <i>
      <x v="2"/>
      <x v="1"/>
    </i>
    <i r="1">
      <x v="3"/>
    </i>
    <i r="1">
      <x v="4"/>
    </i>
    <i r="1">
      <x v="5"/>
    </i>
    <i r="1">
      <x v="6"/>
    </i>
    <i r="1">
      <x v="9"/>
    </i>
    <i r="1">
      <x v="10"/>
    </i>
    <i r="1">
      <x v="11"/>
    </i>
    <i>
      <x v="3"/>
      <x v="1"/>
    </i>
    <i t="grand">
      <x/>
    </i>
  </rowItems>
  <colFields count="1">
    <field x="3"/>
  </colFields>
  <colItems count="1">
    <i>
      <x v="1"/>
    </i>
  </colItems>
  <dataFields count="1">
    <dataField name="Sum of Total Bayar" fld="12" baseField="0" baseItem="0" numFmtId="164"/>
  </dataFields>
  <formats count="32">
    <format dxfId="2284">
      <pivotArea type="all" dataOnly="0" outline="0" fieldPosition="0"/>
    </format>
    <format dxfId="2283">
      <pivotArea outline="0" collapsedLevelsAreSubtotals="1" fieldPosition="0"/>
    </format>
    <format dxfId="2282">
      <pivotArea type="origin" dataOnly="0" labelOnly="1" outline="0" fieldPosition="0"/>
    </format>
    <format dxfId="2281">
      <pivotArea field="3" type="button" dataOnly="0" labelOnly="1" outline="0" axis="axisCol" fieldPosition="0"/>
    </format>
    <format dxfId="2280">
      <pivotArea field="14" type="button" dataOnly="0" labelOnly="1" outline="0" axis="axisRow" fieldPosition="0"/>
    </format>
    <format dxfId="2279">
      <pivotArea field="13" type="button" dataOnly="0" labelOnly="1" outline="0" axis="axisRow" fieldPosition="1"/>
    </format>
    <format dxfId="2278">
      <pivotArea dataOnly="0" labelOnly="1" outline="0" fieldPosition="0">
        <references count="1">
          <reference field="14" count="3">
            <x v="1"/>
            <x v="2"/>
            <x v="3"/>
          </reference>
        </references>
      </pivotArea>
    </format>
    <format dxfId="2277">
      <pivotArea dataOnly="0" labelOnly="1" outline="0" fieldPosition="0">
        <references count="2">
          <reference field="13" count="10">
            <x v="1"/>
            <x v="2"/>
            <x v="3"/>
            <x v="5"/>
            <x v="6"/>
            <x v="7"/>
            <x v="8"/>
            <x v="10"/>
            <x v="11"/>
            <x v="12"/>
          </reference>
          <reference field="14" count="1" selected="0">
            <x v="1"/>
          </reference>
        </references>
      </pivotArea>
    </format>
    <format dxfId="2276">
      <pivotArea dataOnly="0" labelOnly="1" outline="0" fieldPosition="0">
        <references count="2">
          <reference field="13" count="8">
            <x v="1"/>
            <x v="3"/>
            <x v="4"/>
            <x v="5"/>
            <x v="6"/>
            <x v="9"/>
            <x v="10"/>
            <x v="11"/>
          </reference>
          <reference field="14" count="1" selected="0">
            <x v="2"/>
          </reference>
        </references>
      </pivotArea>
    </format>
    <format dxfId="2275">
      <pivotArea dataOnly="0" labelOnly="1" outline="0" fieldPosition="0">
        <references count="2">
          <reference field="13" count="1">
            <x v="1"/>
          </reference>
          <reference field="14" count="1" selected="0">
            <x v="3"/>
          </reference>
        </references>
      </pivotArea>
    </format>
    <format dxfId="2274">
      <pivotArea dataOnly="0" labelOnly="1" outline="0" fieldPosition="0">
        <references count="1">
          <reference field="3" count="0"/>
        </references>
      </pivotArea>
    </format>
    <format dxfId="2273">
      <pivotArea type="all" dataOnly="0" outline="0" fieldPosition="0"/>
    </format>
    <format dxfId="2272">
      <pivotArea outline="0" collapsedLevelsAreSubtotals="1" fieldPosition="0"/>
    </format>
    <format dxfId="2271">
      <pivotArea type="origin" dataOnly="0" labelOnly="1" outline="0" fieldPosition="0"/>
    </format>
    <format dxfId="2270">
      <pivotArea field="3" type="button" dataOnly="0" labelOnly="1" outline="0" axis="axisCol" fieldPosition="0"/>
    </format>
    <format dxfId="2269">
      <pivotArea field="14" type="button" dataOnly="0" labelOnly="1" outline="0" axis="axisRow" fieldPosition="0"/>
    </format>
    <format dxfId="2268">
      <pivotArea field="13" type="button" dataOnly="0" labelOnly="1" outline="0" axis="axisRow" fieldPosition="1"/>
    </format>
    <format dxfId="2267">
      <pivotArea dataOnly="0" labelOnly="1" outline="0" fieldPosition="0">
        <references count="1">
          <reference field="14" count="3">
            <x v="1"/>
            <x v="2"/>
            <x v="3"/>
          </reference>
        </references>
      </pivotArea>
    </format>
    <format dxfId="2266">
      <pivotArea dataOnly="0" labelOnly="1" outline="0" fieldPosition="0">
        <references count="2">
          <reference field="13" count="10">
            <x v="1"/>
            <x v="2"/>
            <x v="3"/>
            <x v="5"/>
            <x v="6"/>
            <x v="7"/>
            <x v="8"/>
            <x v="10"/>
            <x v="11"/>
            <x v="12"/>
          </reference>
          <reference field="14" count="1" selected="0">
            <x v="1"/>
          </reference>
        </references>
      </pivotArea>
    </format>
    <format dxfId="2265">
      <pivotArea dataOnly="0" labelOnly="1" outline="0" fieldPosition="0">
        <references count="2">
          <reference field="13" count="8">
            <x v="1"/>
            <x v="3"/>
            <x v="4"/>
            <x v="5"/>
            <x v="6"/>
            <x v="9"/>
            <x v="10"/>
            <x v="11"/>
          </reference>
          <reference field="14" count="1" selected="0">
            <x v="2"/>
          </reference>
        </references>
      </pivotArea>
    </format>
    <format dxfId="2264">
      <pivotArea dataOnly="0" labelOnly="1" outline="0" fieldPosition="0">
        <references count="2">
          <reference field="13" count="1">
            <x v="1"/>
          </reference>
          <reference field="14" count="1" selected="0">
            <x v="3"/>
          </reference>
        </references>
      </pivotArea>
    </format>
    <format dxfId="2263">
      <pivotArea dataOnly="0" labelOnly="1" outline="0" fieldPosition="0">
        <references count="1">
          <reference field="3" count="0"/>
        </references>
      </pivotArea>
    </format>
    <format dxfId="2186">
      <pivotArea type="origin" dataOnly="0" labelOnly="1" outline="0" fieldPosition="0"/>
    </format>
    <format dxfId="2185">
      <pivotArea field="3" type="button" dataOnly="0" labelOnly="1" outline="0" axis="axisCol" fieldPosition="0"/>
    </format>
    <format dxfId="2184">
      <pivotArea field="14" type="button" dataOnly="0" labelOnly="1" outline="0" axis="axisRow" fieldPosition="0"/>
    </format>
    <format dxfId="2183">
      <pivotArea field="13" type="button" dataOnly="0" labelOnly="1" outline="0" axis="axisRow" fieldPosition="1"/>
    </format>
    <format dxfId="2182">
      <pivotArea dataOnly="0" labelOnly="1" outline="0" fieldPosition="0">
        <references count="1">
          <reference field="3" count="0"/>
        </references>
      </pivotArea>
    </format>
    <format dxfId="2181">
      <pivotArea type="origin" dataOnly="0" labelOnly="1" outline="0" fieldPosition="0"/>
    </format>
    <format dxfId="2180">
      <pivotArea field="3" type="button" dataOnly="0" labelOnly="1" outline="0" axis="axisCol" fieldPosition="0"/>
    </format>
    <format dxfId="2179">
      <pivotArea field="14" type="button" dataOnly="0" labelOnly="1" outline="0" axis="axisRow" fieldPosition="0"/>
    </format>
    <format dxfId="2178">
      <pivotArea field="13" type="button" dataOnly="0" labelOnly="1" outline="0" axis="axisRow" fieldPosition="1"/>
    </format>
    <format dxfId="2177">
      <pivotArea dataOnly="0" labelOnly="1" outline="0" fieldPosition="0">
        <references count="1">
          <reference field="3" count="0"/>
        </references>
      </pivotArea>
    </format>
  </formats>
  <chartFormats count="13">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2" format="5">
      <pivotArea type="data" outline="0" fieldPosition="0">
        <references count="3">
          <reference field="4294967294" count="1" selected="0">
            <x v="0"/>
          </reference>
          <reference field="3" count="1" selected="0">
            <x v="0"/>
          </reference>
          <reference field="14" count="1" selected="0">
            <x v="3"/>
          </reference>
        </references>
      </pivotArea>
    </chartFormat>
    <chartFormat chart="2" format="6">
      <pivotArea type="data" outline="0" fieldPosition="0">
        <references count="3">
          <reference field="4294967294" count="1" selected="0">
            <x v="0"/>
          </reference>
          <reference field="3" count="1" selected="0">
            <x v="1"/>
          </reference>
          <reference field="14" count="1" selected="0">
            <x v="3"/>
          </reference>
        </references>
      </pivotArea>
    </chartFormat>
    <chartFormat chart="2" format="7">
      <pivotArea type="data" outline="0" fieldPosition="0">
        <references count="3">
          <reference field="4294967294" count="1" selected="0">
            <x v="0"/>
          </reference>
          <reference field="3" count="1" selected="0">
            <x v="2"/>
          </reference>
          <reference field="14" count="1" selected="0">
            <x v="3"/>
          </reference>
        </references>
      </pivotArea>
    </chartFormat>
    <chartFormat chart="2" format="8">
      <pivotArea type="data" outline="0" fieldPosition="0">
        <references count="3">
          <reference field="4294967294" count="1" selected="0">
            <x v="0"/>
          </reference>
          <reference field="3" count="1" selected="0">
            <x v="3"/>
          </reference>
          <reference field="14" count="1" selected="0">
            <x v="3"/>
          </reference>
        </references>
      </pivotArea>
    </chartFormat>
    <chartFormat chart="2" format="9">
      <pivotArea type="data" outline="0" fieldPosition="0">
        <references count="3">
          <reference field="4294967294" count="1" selected="0">
            <x v="0"/>
          </reference>
          <reference field="3" count="1" selected="0">
            <x v="4"/>
          </reference>
          <reference field="14" count="1" selected="0">
            <x v="3"/>
          </reference>
        </references>
      </pivotArea>
    </chartFormat>
    <chartFormat chart="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DC2BA8-24EA-490B-8648-6D53F17CE8D7}" name="TotalSales" cacheId="3"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24">
  <location ref="A4:C26" firstHeaderRow="1" firstDataRow="2" firstDataCol="2"/>
  <pivotFields count="15">
    <pivotField compact="0" outline="0" showAll="0" defaultSubtotal="0"/>
    <pivotField compact="0" outline="0" showAll="0" defaultSubtotal="0"/>
    <pivotField compact="0" outline="0" showAll="0" defaultSubtotal="0"/>
    <pivotField axis="axisCol" compact="0" outline="0" showAll="0" defaultSubtotal="0">
      <items count="5">
        <item h="1" x="4"/>
        <item h="1" x="2"/>
        <item h="1" x="0"/>
        <item x="3"/>
        <item h="1" x="1"/>
      </items>
    </pivotField>
    <pivotField compact="0" numFmtId="166" outline="0" showAll="0" defaultSubtotal="0"/>
    <pivotField compact="0" outline="0" showAll="0" defaultSubtotal="0"/>
    <pivotField compact="0" numFmtId="165" outline="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 compact="0" outline="0" showAll="0" defaultSubtotal="0"/>
    <pivotField compact="0" numFmtId="166" outline="0" showAll="0" defaultSubtotal="0"/>
    <pivotField compact="0" outline="0" showAll="0" defaultSubtotal="0">
      <items count="2">
        <item x="1"/>
        <item x="0"/>
      </items>
    </pivotField>
    <pivotField compact="0" outline="0" showAll="0" defaultSubtotal="0">
      <items count="2">
        <item x="1"/>
        <item x="0"/>
      </items>
    </pivotField>
    <pivotField compact="0" numFmtId="167" outline="0" showAll="0" defaultSubtotal="0"/>
    <pivotField dataField="1" compact="0" numFmtId="164" outline="0" showAll="0" defaultSubtotal="0"/>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5">
        <item x="0"/>
        <item x="1"/>
        <item x="2"/>
        <item x="3"/>
        <item x="4"/>
      </items>
    </pivotField>
  </pivotFields>
  <rowFields count="2">
    <field x="14"/>
    <field x="13"/>
  </rowFields>
  <rowItems count="21">
    <i>
      <x v="1"/>
      <x v="1"/>
    </i>
    <i r="1">
      <x v="2"/>
    </i>
    <i r="1">
      <x v="3"/>
    </i>
    <i r="1">
      <x v="5"/>
    </i>
    <i r="1">
      <x v="6"/>
    </i>
    <i r="1">
      <x v="7"/>
    </i>
    <i r="1">
      <x v="8"/>
    </i>
    <i r="1">
      <x v="9"/>
    </i>
    <i r="1">
      <x v="11"/>
    </i>
    <i r="1">
      <x v="12"/>
    </i>
    <i>
      <x v="2"/>
      <x v="1"/>
    </i>
    <i r="1">
      <x v="2"/>
    </i>
    <i r="1">
      <x v="4"/>
    </i>
    <i r="1">
      <x v="5"/>
    </i>
    <i r="1">
      <x v="6"/>
    </i>
    <i r="1">
      <x v="7"/>
    </i>
    <i r="1">
      <x v="9"/>
    </i>
    <i r="1">
      <x v="10"/>
    </i>
    <i r="1">
      <x v="11"/>
    </i>
    <i r="1">
      <x v="12"/>
    </i>
    <i t="grand">
      <x/>
    </i>
  </rowItems>
  <colFields count="1">
    <field x="3"/>
  </colFields>
  <colItems count="1">
    <i>
      <x v="3"/>
    </i>
  </colItems>
  <dataFields count="1">
    <dataField name="Sum of Total Bayar" fld="12" baseField="0" baseItem="0" numFmtId="164"/>
  </dataFields>
  <formats count="28">
    <format dxfId="2334">
      <pivotArea type="all" dataOnly="0" outline="0" fieldPosition="0"/>
    </format>
    <format dxfId="2333">
      <pivotArea outline="0" collapsedLevelsAreSubtotals="1" fieldPosition="0"/>
    </format>
    <format dxfId="2332">
      <pivotArea type="origin" dataOnly="0" labelOnly="1" outline="0" fieldPosition="0"/>
    </format>
    <format dxfId="2331">
      <pivotArea field="3" type="button" dataOnly="0" labelOnly="1" outline="0" axis="axisCol" fieldPosition="0"/>
    </format>
    <format dxfId="2330">
      <pivotArea field="14" type="button" dataOnly="0" labelOnly="1" outline="0" axis="axisRow" fieldPosition="0"/>
    </format>
    <format dxfId="2329">
      <pivotArea field="13" type="button" dataOnly="0" labelOnly="1" outline="0" axis="axisRow" fieldPosition="1"/>
    </format>
    <format dxfId="2328">
      <pivotArea dataOnly="0" labelOnly="1" outline="0" fieldPosition="0">
        <references count="1">
          <reference field="14" count="1">
            <x v="1"/>
          </reference>
        </references>
      </pivotArea>
    </format>
    <format dxfId="2327">
      <pivotArea dataOnly="0" labelOnly="1" outline="0" fieldPosition="0">
        <references count="2">
          <reference field="13" count="8">
            <x v="1"/>
            <x v="2"/>
            <x v="3"/>
            <x v="5"/>
            <x v="6"/>
            <x v="7"/>
            <x v="8"/>
            <x v="9"/>
          </reference>
          <reference field="14" count="1" selected="0">
            <x v="1"/>
          </reference>
        </references>
      </pivotArea>
    </format>
    <format dxfId="2326">
      <pivotArea dataOnly="0" labelOnly="1" outline="0" fieldPosition="0">
        <references count="1">
          <reference field="3" count="0"/>
        </references>
      </pivotArea>
    </format>
    <format dxfId="2325">
      <pivotArea type="all" dataOnly="0" outline="0" fieldPosition="0"/>
    </format>
    <format dxfId="2324">
      <pivotArea outline="0" collapsedLevelsAreSubtotals="1" fieldPosition="0"/>
    </format>
    <format dxfId="2323">
      <pivotArea type="origin" dataOnly="0" labelOnly="1" outline="0" fieldPosition="0"/>
    </format>
    <format dxfId="2322">
      <pivotArea field="3" type="button" dataOnly="0" labelOnly="1" outline="0" axis="axisCol" fieldPosition="0"/>
    </format>
    <format dxfId="2321">
      <pivotArea field="14" type="button" dataOnly="0" labelOnly="1" outline="0" axis="axisRow" fieldPosition="0"/>
    </format>
    <format dxfId="2320">
      <pivotArea field="13" type="button" dataOnly="0" labelOnly="1" outline="0" axis="axisRow" fieldPosition="1"/>
    </format>
    <format dxfId="2319">
      <pivotArea dataOnly="0" labelOnly="1" outline="0" fieldPosition="0">
        <references count="1">
          <reference field="14" count="1">
            <x v="1"/>
          </reference>
        </references>
      </pivotArea>
    </format>
    <format dxfId="2318">
      <pivotArea dataOnly="0" labelOnly="1" outline="0" fieldPosition="0">
        <references count="2">
          <reference field="13" count="8">
            <x v="1"/>
            <x v="2"/>
            <x v="3"/>
            <x v="5"/>
            <x v="6"/>
            <x v="7"/>
            <x v="8"/>
            <x v="9"/>
          </reference>
          <reference field="14" count="1" selected="0">
            <x v="1"/>
          </reference>
        </references>
      </pivotArea>
    </format>
    <format dxfId="2317">
      <pivotArea dataOnly="0" labelOnly="1" outline="0" fieldPosition="0">
        <references count="1">
          <reference field="3" count="0"/>
        </references>
      </pivotArea>
    </format>
    <format dxfId="2176">
      <pivotArea type="origin" dataOnly="0" labelOnly="1" outline="0" fieldPosition="0"/>
    </format>
    <format dxfId="2175">
      <pivotArea field="3" type="button" dataOnly="0" labelOnly="1" outline="0" axis="axisCol" fieldPosition="0"/>
    </format>
    <format dxfId="2174">
      <pivotArea field="14" type="button" dataOnly="0" labelOnly="1" outline="0" axis="axisRow" fieldPosition="0"/>
    </format>
    <format dxfId="2173">
      <pivotArea field="13" type="button" dataOnly="0" labelOnly="1" outline="0" axis="axisRow" fieldPosition="1"/>
    </format>
    <format dxfId="2172">
      <pivotArea dataOnly="0" labelOnly="1" outline="0" fieldPosition="0">
        <references count="1">
          <reference field="3" count="0"/>
        </references>
      </pivotArea>
    </format>
    <format dxfId="2171">
      <pivotArea type="origin" dataOnly="0" labelOnly="1" outline="0" fieldPosition="0"/>
    </format>
    <format dxfId="2170">
      <pivotArea field="3" type="button" dataOnly="0" labelOnly="1" outline="0" axis="axisCol" fieldPosition="0"/>
    </format>
    <format dxfId="2169">
      <pivotArea field="14" type="button" dataOnly="0" labelOnly="1" outline="0" axis="axisRow" fieldPosition="0"/>
    </format>
    <format dxfId="2168">
      <pivotArea field="13" type="button" dataOnly="0" labelOnly="1" outline="0" axis="axisRow" fieldPosition="1"/>
    </format>
    <format dxfId="2167">
      <pivotArea dataOnly="0" labelOnly="1" outline="0" fieldPosition="0">
        <references count="1">
          <reference field="3" count="0"/>
        </references>
      </pivotArea>
    </format>
  </formats>
  <chartFormats count="15">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2" format="5">
      <pivotArea type="data" outline="0" fieldPosition="0">
        <references count="3">
          <reference field="4294967294" count="1" selected="0">
            <x v="0"/>
          </reference>
          <reference field="3" count="1" selected="0">
            <x v="0"/>
          </reference>
          <reference field="14" count="1" selected="0">
            <x v="3"/>
          </reference>
        </references>
      </pivotArea>
    </chartFormat>
    <chartFormat chart="2" format="6">
      <pivotArea type="data" outline="0" fieldPosition="0">
        <references count="3">
          <reference field="4294967294" count="1" selected="0">
            <x v="0"/>
          </reference>
          <reference field="3" count="1" selected="0">
            <x v="1"/>
          </reference>
          <reference field="14" count="1" selected="0">
            <x v="3"/>
          </reference>
        </references>
      </pivotArea>
    </chartFormat>
    <chartFormat chart="2" format="7">
      <pivotArea type="data" outline="0" fieldPosition="0">
        <references count="3">
          <reference field="4294967294" count="1" selected="0">
            <x v="0"/>
          </reference>
          <reference field="3" count="1" selected="0">
            <x v="2"/>
          </reference>
          <reference field="14" count="1" selected="0">
            <x v="3"/>
          </reference>
        </references>
      </pivotArea>
    </chartFormat>
    <chartFormat chart="2" format="8">
      <pivotArea type="data" outline="0" fieldPosition="0">
        <references count="3">
          <reference field="4294967294" count="1" selected="0">
            <x v="0"/>
          </reference>
          <reference field="3" count="1" selected="0">
            <x v="3"/>
          </reference>
          <reference field="14" count="1" selected="0">
            <x v="3"/>
          </reference>
        </references>
      </pivotArea>
    </chartFormat>
    <chartFormat chart="2" format="9">
      <pivotArea type="data" outline="0" fieldPosition="0">
        <references count="3">
          <reference field="4294967294" count="1" selected="0">
            <x v="0"/>
          </reference>
          <reference field="3" count="1" selected="0">
            <x v="4"/>
          </reference>
          <reference field="14" count="1" selected="0">
            <x v="3"/>
          </reference>
        </references>
      </pivotArea>
    </chartFormat>
    <chartFormat chart="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4A6E43-8DB7-45B6-A686-35ED79F24811}" name="TotalSales" cacheId="3"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22">
  <location ref="A4:C24" firstHeaderRow="1" firstDataRow="2" firstDataCol="2"/>
  <pivotFields count="15">
    <pivotField compact="0" outline="0" showAll="0" defaultSubtotal="0"/>
    <pivotField compact="0" outline="0" showAll="0" defaultSubtotal="0"/>
    <pivotField compact="0" outline="0" showAll="0" defaultSubtotal="0"/>
    <pivotField axis="axisCol" compact="0" outline="0" showAll="0" defaultSubtotal="0">
      <items count="5">
        <item h="1" x="4"/>
        <item h="1" x="2"/>
        <item x="0"/>
        <item h="1" x="3"/>
        <item h="1" x="1"/>
      </items>
    </pivotField>
    <pivotField compact="0" numFmtId="166" outline="0" showAll="0" defaultSubtotal="0"/>
    <pivotField compact="0" outline="0" showAll="0" defaultSubtotal="0"/>
    <pivotField compact="0" numFmtId="165" outline="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 compact="0" outline="0" showAll="0" defaultSubtotal="0"/>
    <pivotField compact="0" numFmtId="166" outline="0" showAll="0" defaultSubtotal="0"/>
    <pivotField compact="0" outline="0" showAll="0" defaultSubtotal="0">
      <items count="2">
        <item x="1"/>
        <item x="0"/>
      </items>
    </pivotField>
    <pivotField compact="0" outline="0" showAll="0" defaultSubtotal="0">
      <items count="2">
        <item x="1"/>
        <item x="0"/>
      </items>
    </pivotField>
    <pivotField compact="0" numFmtId="167" outline="0" showAll="0" defaultSubtotal="0"/>
    <pivotField dataField="1" compact="0" numFmtId="164" outline="0" showAll="0" defaultSubtotal="0"/>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5">
        <item x="0"/>
        <item x="1"/>
        <item x="2"/>
        <item x="3"/>
        <item x="4"/>
      </items>
    </pivotField>
  </pivotFields>
  <rowFields count="2">
    <field x="14"/>
    <field x="13"/>
  </rowFields>
  <rowItems count="19">
    <i>
      <x v="1"/>
      <x v="1"/>
    </i>
    <i r="1">
      <x v="3"/>
    </i>
    <i r="1">
      <x v="4"/>
    </i>
    <i r="1">
      <x v="5"/>
    </i>
    <i r="1">
      <x v="8"/>
    </i>
    <i r="1">
      <x v="9"/>
    </i>
    <i r="1">
      <x v="10"/>
    </i>
    <i r="1">
      <x v="11"/>
    </i>
    <i>
      <x v="2"/>
      <x v="1"/>
    </i>
    <i r="1">
      <x v="2"/>
    </i>
    <i r="1">
      <x v="3"/>
    </i>
    <i r="1">
      <x v="4"/>
    </i>
    <i r="1">
      <x v="6"/>
    </i>
    <i r="1">
      <x v="7"/>
    </i>
    <i r="1">
      <x v="9"/>
    </i>
    <i r="1">
      <x v="11"/>
    </i>
    <i r="1">
      <x v="12"/>
    </i>
    <i>
      <x v="3"/>
      <x v="1"/>
    </i>
    <i t="grand">
      <x/>
    </i>
  </rowItems>
  <colFields count="1">
    <field x="3"/>
  </colFields>
  <colItems count="1">
    <i>
      <x v="2"/>
    </i>
  </colItems>
  <dataFields count="1">
    <dataField name="Sum of Total Bayar" fld="12" baseField="0" baseItem="0" numFmtId="164"/>
  </dataFields>
  <formats count="30">
    <format dxfId="2262">
      <pivotArea type="all" dataOnly="0" outline="0" fieldPosition="0"/>
    </format>
    <format dxfId="2261">
      <pivotArea outline="0" collapsedLevelsAreSubtotals="1" fieldPosition="0"/>
    </format>
    <format dxfId="2260">
      <pivotArea type="origin" dataOnly="0" labelOnly="1" outline="0" fieldPosition="0"/>
    </format>
    <format dxfId="2259">
      <pivotArea field="3" type="button" dataOnly="0" labelOnly="1" outline="0" axis="axisCol" fieldPosition="0"/>
    </format>
    <format dxfId="2258">
      <pivotArea field="14" type="button" dataOnly="0" labelOnly="1" outline="0" axis="axisRow" fieldPosition="0"/>
    </format>
    <format dxfId="2257">
      <pivotArea field="13" type="button" dataOnly="0" labelOnly="1" outline="0" axis="axisRow" fieldPosition="1"/>
    </format>
    <format dxfId="2256">
      <pivotArea dataOnly="0" labelOnly="1" outline="0" fieldPosition="0">
        <references count="1">
          <reference field="14" count="2">
            <x v="1"/>
            <x v="2"/>
          </reference>
        </references>
      </pivotArea>
    </format>
    <format dxfId="2255">
      <pivotArea dataOnly="0" labelOnly="1" outline="0" fieldPosition="0">
        <references count="2">
          <reference field="13" count="7">
            <x v="3"/>
            <x v="4"/>
            <x v="5"/>
            <x v="8"/>
            <x v="9"/>
            <x v="10"/>
            <x v="11"/>
          </reference>
          <reference field="14" count="1" selected="0">
            <x v="1"/>
          </reference>
        </references>
      </pivotArea>
    </format>
    <format dxfId="2254">
      <pivotArea dataOnly="0" labelOnly="1" outline="0" fieldPosition="0">
        <references count="2">
          <reference field="13" count="1">
            <x v="1"/>
          </reference>
          <reference field="14" count="1" selected="0">
            <x v="2"/>
          </reference>
        </references>
      </pivotArea>
    </format>
    <format dxfId="2253">
      <pivotArea dataOnly="0" labelOnly="1" outline="0" fieldPosition="0">
        <references count="1">
          <reference field="3" count="0"/>
        </references>
      </pivotArea>
    </format>
    <format dxfId="2252">
      <pivotArea type="all" dataOnly="0" outline="0" fieldPosition="0"/>
    </format>
    <format dxfId="2251">
      <pivotArea outline="0" collapsedLevelsAreSubtotals="1" fieldPosition="0"/>
    </format>
    <format dxfId="2250">
      <pivotArea type="origin" dataOnly="0" labelOnly="1" outline="0" fieldPosition="0"/>
    </format>
    <format dxfId="2249">
      <pivotArea field="3" type="button" dataOnly="0" labelOnly="1" outline="0" axis="axisCol" fieldPosition="0"/>
    </format>
    <format dxfId="2248">
      <pivotArea field="14" type="button" dataOnly="0" labelOnly="1" outline="0" axis="axisRow" fieldPosition="0"/>
    </format>
    <format dxfId="2247">
      <pivotArea field="13" type="button" dataOnly="0" labelOnly="1" outline="0" axis="axisRow" fieldPosition="1"/>
    </format>
    <format dxfId="2246">
      <pivotArea dataOnly="0" labelOnly="1" outline="0" fieldPosition="0">
        <references count="1">
          <reference field="14" count="2">
            <x v="1"/>
            <x v="2"/>
          </reference>
        </references>
      </pivotArea>
    </format>
    <format dxfId="2245">
      <pivotArea dataOnly="0" labelOnly="1" outline="0" fieldPosition="0">
        <references count="2">
          <reference field="13" count="7">
            <x v="3"/>
            <x v="4"/>
            <x v="5"/>
            <x v="8"/>
            <x v="9"/>
            <x v="10"/>
            <x v="11"/>
          </reference>
          <reference field="14" count="1" selected="0">
            <x v="1"/>
          </reference>
        </references>
      </pivotArea>
    </format>
    <format dxfId="2244">
      <pivotArea dataOnly="0" labelOnly="1" outline="0" fieldPosition="0">
        <references count="2">
          <reference field="13" count="1">
            <x v="1"/>
          </reference>
          <reference field="14" count="1" selected="0">
            <x v="2"/>
          </reference>
        </references>
      </pivotArea>
    </format>
    <format dxfId="2243">
      <pivotArea dataOnly="0" labelOnly="1" outline="0" fieldPosition="0">
        <references count="1">
          <reference field="3" count="0"/>
        </references>
      </pivotArea>
    </format>
    <format dxfId="2166">
      <pivotArea type="origin" dataOnly="0" labelOnly="1" outline="0" fieldPosition="0"/>
    </format>
    <format dxfId="2165">
      <pivotArea field="3" type="button" dataOnly="0" labelOnly="1" outline="0" axis="axisCol" fieldPosition="0"/>
    </format>
    <format dxfId="2164">
      <pivotArea field="14" type="button" dataOnly="0" labelOnly="1" outline="0" axis="axisRow" fieldPosition="0"/>
    </format>
    <format dxfId="2163">
      <pivotArea field="13" type="button" dataOnly="0" labelOnly="1" outline="0" axis="axisRow" fieldPosition="1"/>
    </format>
    <format dxfId="2162">
      <pivotArea dataOnly="0" labelOnly="1" outline="0" fieldPosition="0">
        <references count="1">
          <reference field="3" count="0"/>
        </references>
      </pivotArea>
    </format>
    <format dxfId="2161">
      <pivotArea type="origin" dataOnly="0" labelOnly="1" outline="0" fieldPosition="0"/>
    </format>
    <format dxfId="2160">
      <pivotArea field="3" type="button" dataOnly="0" labelOnly="1" outline="0" axis="axisCol" fieldPosition="0"/>
    </format>
    <format dxfId="2159">
      <pivotArea field="14" type="button" dataOnly="0" labelOnly="1" outline="0" axis="axisRow" fieldPosition="0"/>
    </format>
    <format dxfId="2158">
      <pivotArea field="13" type="button" dataOnly="0" labelOnly="1" outline="0" axis="axisRow" fieldPosition="1"/>
    </format>
    <format dxfId="2157">
      <pivotArea dataOnly="0" labelOnly="1" outline="0" fieldPosition="0">
        <references count="1">
          <reference field="3" count="0"/>
        </references>
      </pivotArea>
    </format>
  </formats>
  <chartFormats count="14">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2" format="5">
      <pivotArea type="data" outline="0" fieldPosition="0">
        <references count="3">
          <reference field="4294967294" count="1" selected="0">
            <x v="0"/>
          </reference>
          <reference field="3" count="1" selected="0">
            <x v="0"/>
          </reference>
          <reference field="14" count="1" selected="0">
            <x v="3"/>
          </reference>
        </references>
      </pivotArea>
    </chartFormat>
    <chartFormat chart="2" format="6">
      <pivotArea type="data" outline="0" fieldPosition="0">
        <references count="3">
          <reference field="4294967294" count="1" selected="0">
            <x v="0"/>
          </reference>
          <reference field="3" count="1" selected="0">
            <x v="1"/>
          </reference>
          <reference field="14" count="1" selected="0">
            <x v="3"/>
          </reference>
        </references>
      </pivotArea>
    </chartFormat>
    <chartFormat chart="2" format="7">
      <pivotArea type="data" outline="0" fieldPosition="0">
        <references count="3">
          <reference field="4294967294" count="1" selected="0">
            <x v="0"/>
          </reference>
          <reference field="3" count="1" selected="0">
            <x v="2"/>
          </reference>
          <reference field="14" count="1" selected="0">
            <x v="3"/>
          </reference>
        </references>
      </pivotArea>
    </chartFormat>
    <chartFormat chart="2" format="8">
      <pivotArea type="data" outline="0" fieldPosition="0">
        <references count="3">
          <reference field="4294967294" count="1" selected="0">
            <x v="0"/>
          </reference>
          <reference field="3" count="1" selected="0">
            <x v="3"/>
          </reference>
          <reference field="14" count="1" selected="0">
            <x v="3"/>
          </reference>
        </references>
      </pivotArea>
    </chartFormat>
    <chartFormat chart="2" format="9">
      <pivotArea type="data" outline="0" fieldPosition="0">
        <references count="3">
          <reference field="4294967294" count="1" selected="0">
            <x v="0"/>
          </reference>
          <reference field="3" count="1" selected="0">
            <x v="4"/>
          </reference>
          <reference field="14" count="1" selected="0">
            <x v="3"/>
          </reference>
        </references>
      </pivotArea>
    </chartFormat>
    <chartFormat chart="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BC3BA0-37CD-4EB0-A82F-7E9D15D7FF2F}" name="TotalSales" cacheId="3"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23">
  <location ref="A4:C25" firstHeaderRow="1" firstDataRow="2" firstDataCol="2"/>
  <pivotFields count="15">
    <pivotField compact="0" outline="0" showAll="0" defaultSubtotal="0"/>
    <pivotField compact="0" outline="0" showAll="0" defaultSubtotal="0"/>
    <pivotField compact="0" outline="0" showAll="0" defaultSubtotal="0"/>
    <pivotField axis="axisCol" compact="0" outline="0" showAll="0" defaultSubtotal="0">
      <items count="5">
        <item h="1" x="4"/>
        <item h="1" x="2"/>
        <item h="1" x="0"/>
        <item h="1" x="3"/>
        <item x="1"/>
      </items>
    </pivotField>
    <pivotField compact="0" numFmtId="166" outline="0" showAll="0" defaultSubtotal="0"/>
    <pivotField compact="0" outline="0" showAll="0" defaultSubtotal="0"/>
    <pivotField compact="0" numFmtId="165" outline="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 compact="0" outline="0" showAll="0" defaultSubtotal="0"/>
    <pivotField compact="0" numFmtId="166" outline="0" showAll="0" defaultSubtotal="0"/>
    <pivotField compact="0" outline="0" showAll="0" defaultSubtotal="0">
      <items count="2">
        <item x="1"/>
        <item x="0"/>
      </items>
    </pivotField>
    <pivotField compact="0" outline="0" showAll="0" defaultSubtotal="0">
      <items count="2">
        <item x="1"/>
        <item x="0"/>
      </items>
    </pivotField>
    <pivotField compact="0" numFmtId="167" outline="0" showAll="0" defaultSubtotal="0"/>
    <pivotField dataField="1" compact="0" numFmtId="164" outline="0" showAll="0" defaultSubtotal="0"/>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5">
        <item x="0"/>
        <item x="1"/>
        <item x="2"/>
        <item x="3"/>
        <item x="4"/>
      </items>
    </pivotField>
  </pivotFields>
  <rowFields count="2">
    <field x="14"/>
    <field x="13"/>
  </rowFields>
  <rowItems count="20">
    <i>
      <x v="1"/>
      <x v="1"/>
    </i>
    <i r="1">
      <x v="2"/>
    </i>
    <i r="1">
      <x v="4"/>
    </i>
    <i r="1">
      <x v="5"/>
    </i>
    <i r="1">
      <x v="6"/>
    </i>
    <i r="1">
      <x v="7"/>
    </i>
    <i r="1">
      <x v="9"/>
    </i>
    <i r="1">
      <x v="10"/>
    </i>
    <i r="1">
      <x v="11"/>
    </i>
    <i r="1">
      <x v="12"/>
    </i>
    <i>
      <x v="2"/>
      <x v="2"/>
    </i>
    <i r="1">
      <x v="3"/>
    </i>
    <i r="1">
      <x v="4"/>
    </i>
    <i r="1">
      <x v="5"/>
    </i>
    <i r="1">
      <x v="7"/>
    </i>
    <i r="1">
      <x v="9"/>
    </i>
    <i r="1">
      <x v="10"/>
    </i>
    <i r="1">
      <x v="12"/>
    </i>
    <i>
      <x v="3"/>
      <x v="1"/>
    </i>
    <i t="grand">
      <x/>
    </i>
  </rowItems>
  <colFields count="1">
    <field x="3"/>
  </colFields>
  <colItems count="1">
    <i>
      <x v="4"/>
    </i>
  </colItems>
  <dataFields count="1">
    <dataField name="Sum of Total Bayar" fld="12" baseField="0" baseItem="0" numFmtId="164"/>
  </dataFields>
  <formats count="28">
    <format dxfId="2242">
      <pivotArea type="all" dataOnly="0" outline="0" fieldPosition="0"/>
    </format>
    <format dxfId="2241">
      <pivotArea outline="0" collapsedLevelsAreSubtotals="1" fieldPosition="0"/>
    </format>
    <format dxfId="2240">
      <pivotArea type="origin" dataOnly="0" labelOnly="1" outline="0" fieldPosition="0"/>
    </format>
    <format dxfId="2239">
      <pivotArea field="3" type="button" dataOnly="0" labelOnly="1" outline="0" axis="axisCol" fieldPosition="0"/>
    </format>
    <format dxfId="2238">
      <pivotArea field="14" type="button" dataOnly="0" labelOnly="1" outline="0" axis="axisRow" fieldPosition="0"/>
    </format>
    <format dxfId="2237">
      <pivotArea field="13" type="button" dataOnly="0" labelOnly="1" outline="0" axis="axisRow" fieldPosition="1"/>
    </format>
    <format dxfId="2236">
      <pivotArea dataOnly="0" labelOnly="1" outline="0" fieldPosition="0">
        <references count="1">
          <reference field="14" count="1">
            <x v="1"/>
          </reference>
        </references>
      </pivotArea>
    </format>
    <format dxfId="2235">
      <pivotArea dataOnly="0" labelOnly="1" outline="0" fieldPosition="0">
        <references count="2">
          <reference field="13" count="8">
            <x v="1"/>
            <x v="2"/>
            <x v="4"/>
            <x v="5"/>
            <x v="6"/>
            <x v="7"/>
            <x v="9"/>
            <x v="10"/>
          </reference>
          <reference field="14" count="1" selected="0">
            <x v="1"/>
          </reference>
        </references>
      </pivotArea>
    </format>
    <format dxfId="2234">
      <pivotArea dataOnly="0" labelOnly="1" outline="0" fieldPosition="0">
        <references count="1">
          <reference field="3" count="0"/>
        </references>
      </pivotArea>
    </format>
    <format dxfId="2233">
      <pivotArea type="all" dataOnly="0" outline="0" fieldPosition="0"/>
    </format>
    <format dxfId="2232">
      <pivotArea outline="0" collapsedLevelsAreSubtotals="1" fieldPosition="0"/>
    </format>
    <format dxfId="2231">
      <pivotArea type="origin" dataOnly="0" labelOnly="1" outline="0" fieldPosition="0"/>
    </format>
    <format dxfId="2230">
      <pivotArea field="3" type="button" dataOnly="0" labelOnly="1" outline="0" axis="axisCol" fieldPosition="0"/>
    </format>
    <format dxfId="2229">
      <pivotArea field="14" type="button" dataOnly="0" labelOnly="1" outline="0" axis="axisRow" fieldPosition="0"/>
    </format>
    <format dxfId="2228">
      <pivotArea field="13" type="button" dataOnly="0" labelOnly="1" outline="0" axis="axisRow" fieldPosition="1"/>
    </format>
    <format dxfId="2227">
      <pivotArea dataOnly="0" labelOnly="1" outline="0" fieldPosition="0">
        <references count="1">
          <reference field="14" count="1">
            <x v="1"/>
          </reference>
        </references>
      </pivotArea>
    </format>
    <format dxfId="2226">
      <pivotArea dataOnly="0" labelOnly="1" outline="0" fieldPosition="0">
        <references count="2">
          <reference field="13" count="8">
            <x v="1"/>
            <x v="2"/>
            <x v="4"/>
            <x v="5"/>
            <x v="6"/>
            <x v="7"/>
            <x v="9"/>
            <x v="10"/>
          </reference>
          <reference field="14" count="1" selected="0">
            <x v="1"/>
          </reference>
        </references>
      </pivotArea>
    </format>
    <format dxfId="2225">
      <pivotArea dataOnly="0" labelOnly="1" outline="0" fieldPosition="0">
        <references count="1">
          <reference field="3" count="0"/>
        </references>
      </pivotArea>
    </format>
    <format dxfId="2156">
      <pivotArea type="origin" dataOnly="0" labelOnly="1" outline="0" fieldPosition="0"/>
    </format>
    <format dxfId="2155">
      <pivotArea field="3" type="button" dataOnly="0" labelOnly="1" outline="0" axis="axisCol" fieldPosition="0"/>
    </format>
    <format dxfId="2154">
      <pivotArea field="14" type="button" dataOnly="0" labelOnly="1" outline="0" axis="axisRow" fieldPosition="0"/>
    </format>
    <format dxfId="2153">
      <pivotArea field="13" type="button" dataOnly="0" labelOnly="1" outline="0" axis="axisRow" fieldPosition="1"/>
    </format>
    <format dxfId="2152">
      <pivotArea dataOnly="0" labelOnly="1" outline="0" fieldPosition="0">
        <references count="1">
          <reference field="3" count="0"/>
        </references>
      </pivotArea>
    </format>
    <format dxfId="2151">
      <pivotArea type="origin" dataOnly="0" labelOnly="1" outline="0" fieldPosition="0"/>
    </format>
    <format dxfId="2150">
      <pivotArea field="3" type="button" dataOnly="0" labelOnly="1" outline="0" axis="axisCol" fieldPosition="0"/>
    </format>
    <format dxfId="2149">
      <pivotArea field="14" type="button" dataOnly="0" labelOnly="1" outline="0" axis="axisRow" fieldPosition="0"/>
    </format>
    <format dxfId="2148">
      <pivotArea field="13" type="button" dataOnly="0" labelOnly="1" outline="0" axis="axisRow" fieldPosition="1"/>
    </format>
    <format dxfId="2147">
      <pivotArea dataOnly="0" labelOnly="1" outline="0" fieldPosition="0">
        <references count="1">
          <reference field="3" count="0"/>
        </references>
      </pivotArea>
    </format>
  </formats>
  <chartFormats count="15">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2" format="5">
      <pivotArea type="data" outline="0" fieldPosition="0">
        <references count="3">
          <reference field="4294967294" count="1" selected="0">
            <x v="0"/>
          </reference>
          <reference field="3" count="1" selected="0">
            <x v="0"/>
          </reference>
          <reference field="14" count="1" selected="0">
            <x v="3"/>
          </reference>
        </references>
      </pivotArea>
    </chartFormat>
    <chartFormat chart="2" format="6">
      <pivotArea type="data" outline="0" fieldPosition="0">
        <references count="3">
          <reference field="4294967294" count="1" selected="0">
            <x v="0"/>
          </reference>
          <reference field="3" count="1" selected="0">
            <x v="1"/>
          </reference>
          <reference field="14" count="1" selected="0">
            <x v="3"/>
          </reference>
        </references>
      </pivotArea>
    </chartFormat>
    <chartFormat chart="2" format="7">
      <pivotArea type="data" outline="0" fieldPosition="0">
        <references count="3">
          <reference field="4294967294" count="1" selected="0">
            <x v="0"/>
          </reference>
          <reference field="3" count="1" selected="0">
            <x v="2"/>
          </reference>
          <reference field="14" count="1" selected="0">
            <x v="3"/>
          </reference>
        </references>
      </pivotArea>
    </chartFormat>
    <chartFormat chart="2" format="8">
      <pivotArea type="data" outline="0" fieldPosition="0">
        <references count="3">
          <reference field="4294967294" count="1" selected="0">
            <x v="0"/>
          </reference>
          <reference field="3" count="1" selected="0">
            <x v="3"/>
          </reference>
          <reference field="14" count="1" selected="0">
            <x v="3"/>
          </reference>
        </references>
      </pivotArea>
    </chartFormat>
    <chartFormat chart="2" format="9">
      <pivotArea type="data" outline="0" fieldPosition="0">
        <references count="3">
          <reference field="4294967294" count="1" selected="0">
            <x v="0"/>
          </reference>
          <reference field="3" count="1" selected="0">
            <x v="4"/>
          </reference>
          <reference field="14" count="1" selected="0">
            <x v="3"/>
          </reference>
        </references>
      </pivotArea>
    </chartFormat>
    <chartFormat chart="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978353-8B69-4453-8B91-05A2CDCF42C4}" name="TotalSales"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4:B6" firstHeaderRow="1" firstDataRow="1" firstDataCol="1"/>
  <pivotFields count="15">
    <pivotField compact="0" outline="0" showAll="0" defaultSubtotal="0"/>
    <pivotField compact="0" outline="0" showAll="0" defaultSubtotal="0"/>
    <pivotField compact="0" outline="0" showAll="0" defaultSubtotal="0"/>
    <pivotField compact="0" outline="0" showAll="0" defaultSubtotal="0">
      <items count="5">
        <item h="1" x="4"/>
        <item h="1" x="2"/>
        <item h="1" x="0"/>
        <item h="1" x="3"/>
        <item x="1"/>
      </items>
    </pivotField>
    <pivotField compact="0" numFmtId="166" outline="0" showAll="0" defaultSubtotal="0"/>
    <pivotField axis="axisRow" compact="0" outline="0" showAll="0" defaultSubtotal="0">
      <items count="2">
        <item x="1"/>
        <item x="0"/>
      </items>
    </pivotField>
    <pivotField compact="0" numFmtId="165" outline="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 compact="0" outline="0" showAll="0" defaultSubtotal="0"/>
    <pivotField compact="0" numFmtId="166" outline="0" showAll="0" defaultSubtotal="0"/>
    <pivotField compact="0" outline="0" showAll="0" defaultSubtotal="0">
      <items count="2">
        <item x="1"/>
        <item x="0"/>
      </items>
    </pivotField>
    <pivotField compact="0" outline="0" showAll="0" defaultSubtotal="0">
      <items count="2">
        <item x="1"/>
        <item x="0"/>
      </items>
    </pivotField>
    <pivotField compact="0" numFmtId="167" outline="0" showAll="0" defaultSubtotal="0"/>
    <pivotField dataField="1" compact="0" numFmtId="164"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5">
        <item x="0"/>
        <item x="1"/>
        <item x="2"/>
        <item x="3"/>
        <item x="4"/>
      </items>
    </pivotField>
  </pivotFields>
  <rowFields count="1">
    <field x="5"/>
  </rowFields>
  <rowItems count="2">
    <i>
      <x/>
    </i>
    <i>
      <x v="1"/>
    </i>
  </rowItems>
  <colItems count="1">
    <i/>
  </colItems>
  <dataFields count="1">
    <dataField name="Sum of Total Bayar" fld="12" baseField="0" baseItem="0" numFmtId="164"/>
  </dataFields>
  <formats count="14">
    <format dxfId="2224">
      <pivotArea type="all" dataOnly="0" outline="0" fieldPosition="0"/>
    </format>
    <format dxfId="2223">
      <pivotArea outline="0" collapsedLevelsAreSubtotals="1" fieldPosition="0"/>
    </format>
    <format dxfId="2222">
      <pivotArea field="5" type="button" dataOnly="0" labelOnly="1" outline="0" axis="axisRow" fieldPosition="0"/>
    </format>
    <format dxfId="2221">
      <pivotArea dataOnly="0" labelOnly="1" outline="0" fieldPosition="0">
        <references count="1">
          <reference field="5" count="0"/>
        </references>
      </pivotArea>
    </format>
    <format dxfId="2220">
      <pivotArea dataOnly="0" labelOnly="1" outline="0" axis="axisValues" fieldPosition="0"/>
    </format>
    <format dxfId="2219">
      <pivotArea type="all" dataOnly="0" outline="0" fieldPosition="0"/>
    </format>
    <format dxfId="2218">
      <pivotArea outline="0" collapsedLevelsAreSubtotals="1" fieldPosition="0"/>
    </format>
    <format dxfId="2217">
      <pivotArea field="5" type="button" dataOnly="0" labelOnly="1" outline="0" axis="axisRow" fieldPosition="0"/>
    </format>
    <format dxfId="2216">
      <pivotArea dataOnly="0" labelOnly="1" outline="0" fieldPosition="0">
        <references count="1">
          <reference field="5" count="0"/>
        </references>
      </pivotArea>
    </format>
    <format dxfId="2215">
      <pivotArea dataOnly="0" labelOnly="1" outline="0" axis="axisValues" fieldPosition="0"/>
    </format>
    <format dxfId="2146">
      <pivotArea field="5" type="button" dataOnly="0" labelOnly="1" outline="0" axis="axisRow" fieldPosition="0"/>
    </format>
    <format dxfId="2145">
      <pivotArea dataOnly="0" labelOnly="1" outline="0" axis="axisValues" fieldPosition="0"/>
    </format>
    <format dxfId="2144">
      <pivotArea field="5" type="button" dataOnly="0" labelOnly="1" outline="0" axis="axisRow" fieldPosition="0"/>
    </format>
    <format dxfId="2143">
      <pivotArea dataOnly="0" labelOnly="1" outline="0" axis="axisValues" fieldPosition="0"/>
    </format>
  </formats>
  <chartFormats count="8">
    <chartFormat chart="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5" count="1" selected="0">
            <x v="0"/>
          </reference>
        </references>
      </pivotArea>
    </chartFormat>
    <chartFormat chart="26"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655172-922F-409D-8613-AE99D13BEA89}" name="TotalSales"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4:B9" firstHeaderRow="1" firstDataRow="1" firstDataCol="1"/>
  <pivotFields count="15">
    <pivotField compact="0" outline="0" showAll="0" defaultSubtotal="0"/>
    <pivotField axis="axisRow" compact="0" outline="0" showAll="0" measureFilter="1" defaultSubtotal="0">
      <items count="25">
        <item x="6"/>
        <item x="2"/>
        <item x="0"/>
        <item x="3"/>
        <item x="8"/>
        <item x="4"/>
        <item x="9"/>
        <item x="10"/>
        <item x="11"/>
        <item x="12"/>
        <item x="13"/>
        <item x="14"/>
        <item x="15"/>
        <item x="16"/>
        <item x="17"/>
        <item x="7"/>
        <item x="18"/>
        <item x="19"/>
        <item x="20"/>
        <item x="21"/>
        <item x="5"/>
        <item x="22"/>
        <item x="1"/>
        <item x="23"/>
        <item x="24"/>
      </items>
    </pivotField>
    <pivotField compact="0" outline="0" showAll="0" defaultSubtotal="0"/>
    <pivotField compact="0" outline="0" showAll="0" defaultSubtotal="0">
      <items count="5">
        <item h="1" x="4"/>
        <item h="1" x="2"/>
        <item h="1" x="0"/>
        <item h="1" x="3"/>
        <item x="1"/>
      </items>
    </pivotField>
    <pivotField compact="0" numFmtId="166" outline="0" showAll="0" defaultSubtotal="0"/>
    <pivotField compact="0" outline="0" showAll="0" defaultSubtotal="0">
      <items count="2">
        <item x="1"/>
        <item x="0"/>
      </items>
    </pivotField>
    <pivotField compact="0" numFmtId="165" outline="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 compact="0" outline="0" showAll="0" defaultSubtotal="0"/>
    <pivotField compact="0" numFmtId="166" outline="0" showAll="0" defaultSubtotal="0"/>
    <pivotField compact="0" outline="0" showAll="0" defaultSubtotal="0">
      <items count="2">
        <item x="1"/>
        <item x="0"/>
      </items>
    </pivotField>
    <pivotField compact="0" outline="0" showAll="0" defaultSubtotal="0">
      <items count="2">
        <item x="1"/>
        <item x="0"/>
      </items>
    </pivotField>
    <pivotField compact="0" numFmtId="167" outline="0" showAll="0" defaultSubtotal="0"/>
    <pivotField dataField="1" compact="0" numFmtId="164"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5">
        <item x="0"/>
        <item x="1"/>
        <item x="2"/>
        <item x="3"/>
        <item x="4"/>
      </items>
    </pivotField>
  </pivotFields>
  <rowFields count="1">
    <field x="1"/>
  </rowFields>
  <rowItems count="5">
    <i>
      <x v="2"/>
    </i>
    <i>
      <x v="3"/>
    </i>
    <i>
      <x v="5"/>
    </i>
    <i>
      <x v="15"/>
    </i>
    <i>
      <x v="24"/>
    </i>
  </rowItems>
  <colItems count="1">
    <i/>
  </colItems>
  <dataFields count="1">
    <dataField name="Sum of Total Bayar" fld="12" baseField="0" baseItem="0" numFmtId="164"/>
  </dataFields>
  <formats count="10">
    <format dxfId="2214">
      <pivotArea type="all" dataOnly="0" outline="0" fieldPosition="0"/>
    </format>
    <format dxfId="2213">
      <pivotArea outline="0" collapsedLevelsAreSubtotals="1" fieldPosition="0"/>
    </format>
    <format dxfId="2212">
      <pivotArea field="1" type="button" dataOnly="0" labelOnly="1" outline="0" axis="axisRow" fieldPosition="0"/>
    </format>
    <format dxfId="2211">
      <pivotArea dataOnly="0" labelOnly="1" outline="0" fieldPosition="0">
        <references count="1">
          <reference field="1" count="5">
            <x v="2"/>
            <x v="3"/>
            <x v="5"/>
            <x v="15"/>
            <x v="24"/>
          </reference>
        </references>
      </pivotArea>
    </format>
    <format dxfId="2210">
      <pivotArea dataOnly="0" labelOnly="1" outline="0" axis="axisValues" fieldPosition="0"/>
    </format>
    <format dxfId="2209">
      <pivotArea type="all" dataOnly="0" outline="0" fieldPosition="0"/>
    </format>
    <format dxfId="2208">
      <pivotArea outline="0" collapsedLevelsAreSubtotals="1" fieldPosition="0"/>
    </format>
    <format dxfId="2207">
      <pivotArea field="1" type="button" dataOnly="0" labelOnly="1" outline="0" axis="axisRow" fieldPosition="0"/>
    </format>
    <format dxfId="2206">
      <pivotArea dataOnly="0" labelOnly="1" outline="0" fieldPosition="0">
        <references count="1">
          <reference field="1" count="5">
            <x v="2"/>
            <x v="3"/>
            <x v="5"/>
            <x v="15"/>
            <x v="24"/>
          </reference>
        </references>
      </pivotArea>
    </format>
    <format dxfId="2205">
      <pivotArea dataOnly="0" labelOnly="1" outline="0" axis="axisValues" fieldPosition="0"/>
    </format>
  </formats>
  <chartFormats count="8">
    <chartFormat chart="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 xr10:uid="{63C2162D-39BF-454B-88F7-FB5B65F17965}" sourceName="Member">
  <pivotTables>
    <pivotTable tabId="5" name="TotalSales"/>
    <pivotTable tabId="10" name="TotalSales"/>
    <pivotTable tabId="11" name="TotalSales"/>
    <pivotTable tabId="6" name="TotalSales"/>
    <pivotTable tabId="7" name="TotalSales"/>
    <pivotTable tabId="8" name="TotalSales"/>
    <pivotTable tabId="9" name="TotalSales"/>
  </pivotTables>
  <data>
    <tabular pivotCacheId="194450199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Diskon" xr10:uid="{DE834286-CF90-43A7-9C9D-E8F1E14F468D}" sourceName="Status Diskon">
  <pivotTables>
    <pivotTable tabId="5" name="TotalSales"/>
    <pivotTable tabId="10" name="TotalSales"/>
    <pivotTable tabId="11" name="TotalSales"/>
    <pivotTable tabId="6" name="TotalSales"/>
    <pivotTable tabId="7" name="TotalSales"/>
    <pivotTable tabId="8" name="TotalSales"/>
    <pivotTable tabId="9" name="TotalSales"/>
  </pivotTables>
  <data>
    <tabular pivotCacheId="194450199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 xr10:uid="{DBAE8CC4-8B2B-4A67-BADC-416FB6603040}" cache="Slicer_Member" caption="Member" style="Sales Slicer Styles" rowHeight="241300"/>
  <slicer name="Status Diskon" xr10:uid="{453028D0-F7A9-47F0-BE01-F436B98240D8}" cache="Slicer_Status_Diskon" caption="Status Diskon" style="Sales Slicer Styl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205214-59C9-4B84-A301-56D8D88DA48B}" name="Table1" displayName="Table1" ref="A3:M103" totalsRowShown="0" headerRowDxfId="2192" dataDxfId="2316">
  <autoFilter ref="A3:M103" xr:uid="{B8205214-59C9-4B84-A301-56D8D88DA48B}"/>
  <sortState xmlns:xlrd2="http://schemas.microsoft.com/office/spreadsheetml/2017/richdata2" ref="A4:M103">
    <sortCondition ref="G3:G103"/>
  </sortState>
  <tableColumns count="13">
    <tableColumn id="1" xr3:uid="{7C449A2D-F9C7-4363-AA20-D6E75A0D8808}" name="ID" dataDxfId="2315"/>
    <tableColumn id="2" xr3:uid="{B34B6B5E-2133-45FB-96EB-1FCA439E774C}" name="Nama Kasir" dataDxfId="2314">
      <calculatedColumnFormula>PROPER(_xlfn.XLOOKUP(Table1[[#This Row],[ID]],'Data Mentah'!$A$2:$A$101,'Data Mentah'!$B$2:$B$101,"",0))</calculatedColumnFormula>
    </tableColumn>
    <tableColumn id="3" xr3:uid="{422C3EA9-8011-425F-A47C-EF082438B49C}" name="Kode Produk" dataDxfId="2313">
      <calculatedColumnFormula>_xlfn.XLOOKUP(Table1[[#This Row],[ID]],'Data Mentah'!$A$2:$A$101,'Data Mentah'!$C$2:$C$101,"",0)</calculatedColumnFormula>
    </tableColumn>
    <tableColumn id="4" xr3:uid="{84E0F376-D0AC-4432-B695-A5114D96144F}" name="Nama Produk" dataDxfId="2312">
      <calculatedColumnFormula>VLOOKUP(Table1[[#This Row],[Kode Produk]],'Tabel Referensi'!$A$2:$B$6,2,FALSE)</calculatedColumnFormula>
    </tableColumn>
    <tableColumn id="5" xr3:uid="{10E94090-BF2C-4D3B-93E8-4778F03424D2}" name="Harga Satuan" dataDxfId="2311">
      <calculatedColumnFormula>INDEX('Tabel Referensi'!$C$2:$C$6,MATCH(Table1[[#This Row],[Kode Produk]],'Tabel Referensi'!$A$2:$A$6,0))</calculatedColumnFormula>
    </tableColumn>
    <tableColumn id="6" xr3:uid="{862A05CF-7D6C-4ECE-90DE-16B6A5520930}" name="Kategori" dataDxfId="2310">
      <calculatedColumnFormula>INDEX('Tabel Referensi'!$D$2:$D$6,MATCH(Table1[[#This Row],[Kode Produk]],'Tabel Referensi'!$A$2:$A$6,0))</calculatedColumnFormula>
    </tableColumn>
    <tableColumn id="7" xr3:uid="{DEA8168C-1CF5-4049-9FB1-D2FFD308176B}" name="Tanggal Beli" dataDxfId="2309">
      <calculatedColumnFormula>_xlfn.XLOOKUP(Table1[[#This Row],[ID]],'Data Mentah'!$A$1:$A$101,'Data Mentah'!$D$1:$D$101,"",0)</calculatedColumnFormula>
    </tableColumn>
    <tableColumn id="8" xr3:uid="{194B557F-2785-46DE-BF84-F99920848F1D}" name="Quantity" dataDxfId="2308">
      <calculatedColumnFormula>_xlfn.XLOOKUP(Table1[[#This Row],[ID]],'Data Mentah'!$A$1:$A$101,'Data Mentah'!$E$1:$E$101,"",0)</calculatedColumnFormula>
    </tableColumn>
    <tableColumn id="11" xr3:uid="{FDEAB102-60F9-4B83-81F2-1D50AAC05351}" name="Total Harga" dataDxfId="2307">
      <calculatedColumnFormula>Table1[[#This Row],[Harga Satuan]]*Table1[[#This Row],[Quantity]]</calculatedColumnFormula>
    </tableColumn>
    <tableColumn id="9" xr3:uid="{15389E45-D6EB-4FE0-A18A-5B93E8A6008D}" name="Member" dataDxfId="2306">
      <calculatedColumnFormula>INDEX('Data Mentah'!$F$2:$F$101,MATCH(Table1[[#This Row],[ID]],'Data Mentah'!$A$2:$A$101,0))</calculatedColumnFormula>
    </tableColumn>
    <tableColumn id="12" xr3:uid="{617BC34C-2DA7-4A91-BBDD-058E6758C70C}" name="Status Diskon" dataDxfId="2305">
      <calculatedColumnFormula>IF(AND(Table1[[#This Row],[Member]]="Ya",Table1[[#This Row],[Total Harga]]&gt;=1000000),"10%","0%")</calculatedColumnFormula>
    </tableColumn>
    <tableColumn id="13" xr3:uid="{FA9D6803-9F08-4A9A-82B7-F358B4C99042}" name="Nominal Diskon" dataDxfId="2304" dataCellStyle="Currency">
      <calculatedColumnFormula>Table1[[#This Row],[Total Harga]]*Table1[[#This Row],[Status Diskon]]</calculatedColumnFormula>
    </tableColumn>
    <tableColumn id="14" xr3:uid="{12E574FC-A171-4715-A00A-DD8FCA5093B2}" name="Total Bayar" dataDxfId="2303">
      <calculatedColumnFormula>Table1[[#This Row],[Total Harga]]-Table1[[#This Row],[Nominal Diskon]]</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_Beli3" xr10:uid="{CEC7E8C4-93C7-4507-B152-630D6DBD5704}" sourceName="Tanggal Beli">
  <pivotTables>
    <pivotTable tabId="7" name="TotalSales"/>
    <pivotTable tabId="10" name="TotalSales"/>
    <pivotTable tabId="11" name="TotalSales"/>
    <pivotTable tabId="5" name="TotalSales"/>
    <pivotTable tabId="6" name="TotalSales"/>
    <pivotTable tabId="8" name="TotalSales"/>
    <pivotTable tabId="9" name="TotalSales"/>
  </pivotTables>
  <state minimalRefreshVersion="6" lastRefreshVersion="6" pivotCacheId="1944501996"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Beli 3" xr10:uid="{EA57CD83-A42E-4BEF-AE76-E39DF37C105E}" cache="NativeTimeline_Tanggal_Beli3" caption="Tanggal Beli" level="2" selectionLevel="2" scrollPosition="2023-01-01T00:00:00" style="Total Sales Timeline Style"/>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41865-D397-4727-9401-E5FEA0AD9A13}">
  <dimension ref="A1:F101"/>
  <sheetViews>
    <sheetView workbookViewId="0">
      <selection activeCell="H67" sqref="H67"/>
    </sheetView>
  </sheetViews>
  <sheetFormatPr defaultRowHeight="15" x14ac:dyDescent="0.25"/>
  <cols>
    <col min="1" max="1" width="9.85546875" bestFit="1" customWidth="1"/>
    <col min="2" max="2" width="23.7109375" bestFit="1" customWidth="1"/>
    <col min="3" max="4" width="14.85546875" bestFit="1" customWidth="1"/>
    <col min="5" max="5" width="5.85546875" bestFit="1" customWidth="1"/>
    <col min="6" max="6" width="10.7109375" bestFit="1" customWidth="1"/>
  </cols>
  <sheetData>
    <row r="1" spans="1:6" ht="20.25" thickBot="1" x14ac:dyDescent="0.3">
      <c r="A1" s="5" t="s">
        <v>0</v>
      </c>
      <c r="B1" s="5" t="s">
        <v>1</v>
      </c>
      <c r="C1" s="5" t="s">
        <v>2</v>
      </c>
      <c r="D1" s="5" t="s">
        <v>3</v>
      </c>
      <c r="E1" s="5" t="s">
        <v>4</v>
      </c>
      <c r="F1" s="5" t="s">
        <v>5</v>
      </c>
    </row>
    <row r="2" spans="1:6" ht="20.25" thickBot="1" x14ac:dyDescent="0.3">
      <c r="A2" s="6" t="s">
        <v>6</v>
      </c>
      <c r="B2" s="6" t="s">
        <v>7</v>
      </c>
      <c r="C2" s="6" t="s">
        <v>8</v>
      </c>
      <c r="D2" s="7">
        <v>44938</v>
      </c>
      <c r="E2" s="6">
        <v>2</v>
      </c>
      <c r="F2" s="6" t="s">
        <v>9</v>
      </c>
    </row>
    <row r="3" spans="1:6" ht="20.25" thickBot="1" x14ac:dyDescent="0.3">
      <c r="A3" s="6" t="s">
        <v>10</v>
      </c>
      <c r="B3" s="6" t="s">
        <v>11</v>
      </c>
      <c r="C3" s="6" t="s">
        <v>12</v>
      </c>
      <c r="D3" s="8">
        <v>44972</v>
      </c>
      <c r="E3" s="6">
        <v>1</v>
      </c>
      <c r="F3" s="6" t="s">
        <v>13</v>
      </c>
    </row>
    <row r="4" spans="1:6" ht="20.25" thickBot="1" x14ac:dyDescent="0.3">
      <c r="A4" s="6" t="s">
        <v>14</v>
      </c>
      <c r="B4" s="6" t="s">
        <v>15</v>
      </c>
      <c r="C4" s="6" t="s">
        <v>16</v>
      </c>
      <c r="D4" s="7">
        <v>44995</v>
      </c>
      <c r="E4" s="6">
        <v>3</v>
      </c>
      <c r="F4" s="6" t="s">
        <v>9</v>
      </c>
    </row>
    <row r="5" spans="1:6" ht="20.25" thickBot="1" x14ac:dyDescent="0.3">
      <c r="A5" s="6" t="s">
        <v>17</v>
      </c>
      <c r="B5" s="6" t="s">
        <v>18</v>
      </c>
      <c r="C5" s="6" t="s">
        <v>8</v>
      </c>
      <c r="D5" s="8">
        <v>45021</v>
      </c>
      <c r="E5" s="6">
        <v>1</v>
      </c>
      <c r="F5" s="6" t="s">
        <v>13</v>
      </c>
    </row>
    <row r="6" spans="1:6" ht="20.25" thickBot="1" x14ac:dyDescent="0.3">
      <c r="A6" s="6" t="s">
        <v>19</v>
      </c>
      <c r="B6" s="6" t="s">
        <v>20</v>
      </c>
      <c r="C6" s="6" t="s">
        <v>21</v>
      </c>
      <c r="D6" s="7">
        <v>45058</v>
      </c>
      <c r="E6" s="6">
        <v>2</v>
      </c>
      <c r="F6" s="6" t="s">
        <v>9</v>
      </c>
    </row>
    <row r="7" spans="1:6" ht="20.25" thickBot="1" x14ac:dyDescent="0.3">
      <c r="A7" s="6" t="s">
        <v>22</v>
      </c>
      <c r="B7" s="6" t="s">
        <v>23</v>
      </c>
      <c r="C7" s="6" t="s">
        <v>24</v>
      </c>
      <c r="D7" s="8">
        <v>45097</v>
      </c>
      <c r="E7" s="6">
        <v>5</v>
      </c>
      <c r="F7" s="6" t="s">
        <v>13</v>
      </c>
    </row>
    <row r="8" spans="1:6" ht="20.25" thickBot="1" x14ac:dyDescent="0.3">
      <c r="A8" s="6" t="s">
        <v>25</v>
      </c>
      <c r="B8" s="6" t="s">
        <v>26</v>
      </c>
      <c r="C8" s="6" t="s">
        <v>12</v>
      </c>
      <c r="D8" s="7">
        <v>45129</v>
      </c>
      <c r="E8" s="6">
        <v>10</v>
      </c>
      <c r="F8" s="6" t="s">
        <v>9</v>
      </c>
    </row>
    <row r="9" spans="1:6" ht="20.25" thickBot="1" x14ac:dyDescent="0.3">
      <c r="A9" s="6" t="s">
        <v>27</v>
      </c>
      <c r="B9" s="6" t="s">
        <v>28</v>
      </c>
      <c r="C9" s="6" t="s">
        <v>16</v>
      </c>
      <c r="D9" s="8">
        <v>45146</v>
      </c>
      <c r="E9" s="6">
        <v>2</v>
      </c>
      <c r="F9" s="6" t="s">
        <v>13</v>
      </c>
    </row>
    <row r="10" spans="1:6" ht="20.25" thickBot="1" x14ac:dyDescent="0.3">
      <c r="A10" s="6" t="s">
        <v>29</v>
      </c>
      <c r="B10" s="6" t="s">
        <v>30</v>
      </c>
      <c r="C10" s="6" t="s">
        <v>21</v>
      </c>
      <c r="D10" s="7">
        <v>45183</v>
      </c>
      <c r="E10" s="6">
        <v>1</v>
      </c>
      <c r="F10" s="6" t="s">
        <v>9</v>
      </c>
    </row>
    <row r="11" spans="1:6" ht="20.25" thickBot="1" x14ac:dyDescent="0.3">
      <c r="A11" s="6" t="s">
        <v>31</v>
      </c>
      <c r="B11" s="6" t="s">
        <v>32</v>
      </c>
      <c r="C11" s="6" t="s">
        <v>24</v>
      </c>
      <c r="D11" s="8">
        <v>45200</v>
      </c>
      <c r="E11" s="6">
        <v>3</v>
      </c>
      <c r="F11" s="6" t="s">
        <v>13</v>
      </c>
    </row>
    <row r="12" spans="1:6" ht="20.25" thickBot="1" x14ac:dyDescent="0.3">
      <c r="A12" s="6" t="s">
        <v>33</v>
      </c>
      <c r="B12" s="6" t="s">
        <v>34</v>
      </c>
      <c r="C12" s="6" t="s">
        <v>8</v>
      </c>
      <c r="D12" s="7">
        <v>45241</v>
      </c>
      <c r="E12" s="6">
        <v>1</v>
      </c>
      <c r="F12" s="6" t="s">
        <v>9</v>
      </c>
    </row>
    <row r="13" spans="1:6" ht="20.25" thickBot="1" x14ac:dyDescent="0.3">
      <c r="A13" s="6" t="s">
        <v>35</v>
      </c>
      <c r="B13" s="6" t="s">
        <v>36</v>
      </c>
      <c r="C13" s="6" t="s">
        <v>12</v>
      </c>
      <c r="D13" s="8">
        <v>45285</v>
      </c>
      <c r="E13" s="6">
        <v>4</v>
      </c>
      <c r="F13" s="6" t="s">
        <v>13</v>
      </c>
    </row>
    <row r="14" spans="1:6" ht="20.25" thickBot="1" x14ac:dyDescent="0.3">
      <c r="A14" s="6" t="s">
        <v>37</v>
      </c>
      <c r="B14" s="6" t="s">
        <v>38</v>
      </c>
      <c r="C14" s="6" t="s">
        <v>16</v>
      </c>
      <c r="D14" s="7">
        <v>45301</v>
      </c>
      <c r="E14" s="6">
        <v>2</v>
      </c>
      <c r="F14" s="6" t="s">
        <v>9</v>
      </c>
    </row>
    <row r="15" spans="1:6" ht="20.25" thickBot="1" x14ac:dyDescent="0.3">
      <c r="A15" s="6" t="s">
        <v>39</v>
      </c>
      <c r="B15" s="6" t="s">
        <v>40</v>
      </c>
      <c r="C15" s="6" t="s">
        <v>21</v>
      </c>
      <c r="D15" s="8">
        <v>45336</v>
      </c>
      <c r="E15" s="6">
        <v>1</v>
      </c>
      <c r="F15" s="6" t="s">
        <v>13</v>
      </c>
    </row>
    <row r="16" spans="1:6" ht="20.25" thickBot="1" x14ac:dyDescent="0.3">
      <c r="A16" s="6" t="s">
        <v>41</v>
      </c>
      <c r="B16" s="6" t="s">
        <v>42</v>
      </c>
      <c r="C16" s="6" t="s">
        <v>24</v>
      </c>
      <c r="D16" s="7">
        <v>45356</v>
      </c>
      <c r="E16" s="6">
        <v>8</v>
      </c>
      <c r="F16" s="6" t="s">
        <v>9</v>
      </c>
    </row>
    <row r="17" spans="1:6" ht="20.25" thickBot="1" x14ac:dyDescent="0.3">
      <c r="A17" s="6" t="s">
        <v>43</v>
      </c>
      <c r="B17" s="6" t="s">
        <v>44</v>
      </c>
      <c r="C17" s="6" t="s">
        <v>8</v>
      </c>
      <c r="D17" s="8">
        <v>45400</v>
      </c>
      <c r="E17" s="6">
        <v>1</v>
      </c>
      <c r="F17" s="6" t="s">
        <v>13</v>
      </c>
    </row>
    <row r="18" spans="1:6" ht="20.25" thickBot="1" x14ac:dyDescent="0.3">
      <c r="A18" s="6" t="s">
        <v>45</v>
      </c>
      <c r="B18" s="6" t="s">
        <v>46</v>
      </c>
      <c r="C18" s="6" t="s">
        <v>12</v>
      </c>
      <c r="D18" s="7">
        <v>45434</v>
      </c>
      <c r="E18" s="6">
        <v>2</v>
      </c>
      <c r="F18" s="6" t="s">
        <v>9</v>
      </c>
    </row>
    <row r="19" spans="1:6" ht="20.25" thickBot="1" x14ac:dyDescent="0.3">
      <c r="A19" s="6" t="s">
        <v>47</v>
      </c>
      <c r="B19" s="6" t="s">
        <v>48</v>
      </c>
      <c r="C19" s="6" t="s">
        <v>16</v>
      </c>
      <c r="D19" s="8">
        <v>45450</v>
      </c>
      <c r="E19" s="6">
        <v>1</v>
      </c>
      <c r="F19" s="6" t="s">
        <v>13</v>
      </c>
    </row>
    <row r="20" spans="1:6" ht="20.25" thickBot="1" x14ac:dyDescent="0.3">
      <c r="A20" s="6" t="s">
        <v>49</v>
      </c>
      <c r="B20" s="6" t="s">
        <v>50</v>
      </c>
      <c r="C20" s="6" t="s">
        <v>21</v>
      </c>
      <c r="D20" s="7">
        <v>45492</v>
      </c>
      <c r="E20" s="6">
        <v>4</v>
      </c>
      <c r="F20" s="6" t="s">
        <v>9</v>
      </c>
    </row>
    <row r="21" spans="1:6" ht="20.25" thickBot="1" x14ac:dyDescent="0.3">
      <c r="A21" s="6" t="s">
        <v>51</v>
      </c>
      <c r="B21" s="6" t="s">
        <v>52</v>
      </c>
      <c r="C21" s="6" t="s">
        <v>24</v>
      </c>
      <c r="D21" s="8">
        <v>45534</v>
      </c>
      <c r="E21" s="6">
        <v>2</v>
      </c>
      <c r="F21" s="6" t="s">
        <v>13</v>
      </c>
    </row>
    <row r="22" spans="1:6" ht="20.25" thickBot="1" x14ac:dyDescent="0.3">
      <c r="A22" s="6" t="s">
        <v>53</v>
      </c>
      <c r="B22" s="6" t="s">
        <v>54</v>
      </c>
      <c r="C22" s="6" t="s">
        <v>8</v>
      </c>
      <c r="D22" s="7">
        <v>45547</v>
      </c>
      <c r="E22" s="6">
        <v>1</v>
      </c>
      <c r="F22" s="6" t="s">
        <v>9</v>
      </c>
    </row>
    <row r="23" spans="1:6" ht="20.25" thickBot="1" x14ac:dyDescent="0.3">
      <c r="A23" s="6" t="s">
        <v>55</v>
      </c>
      <c r="B23" s="6" t="s">
        <v>56</v>
      </c>
      <c r="C23" s="6" t="s">
        <v>12</v>
      </c>
      <c r="D23" s="8">
        <v>45590</v>
      </c>
      <c r="E23" s="6">
        <v>5</v>
      </c>
      <c r="F23" s="6" t="s">
        <v>13</v>
      </c>
    </row>
    <row r="24" spans="1:6" ht="20.25" thickBot="1" x14ac:dyDescent="0.3">
      <c r="A24" s="6" t="s">
        <v>57</v>
      </c>
      <c r="B24" s="6" t="s">
        <v>58</v>
      </c>
      <c r="C24" s="6" t="s">
        <v>16</v>
      </c>
      <c r="D24" s="7">
        <v>45598</v>
      </c>
      <c r="E24" s="6">
        <v>3</v>
      </c>
      <c r="F24" s="6" t="s">
        <v>9</v>
      </c>
    </row>
    <row r="25" spans="1:6" ht="20.25" thickBot="1" x14ac:dyDescent="0.3">
      <c r="A25" s="6" t="s">
        <v>59</v>
      </c>
      <c r="B25" s="6" t="s">
        <v>60</v>
      </c>
      <c r="C25" s="6" t="s">
        <v>21</v>
      </c>
      <c r="D25" s="8">
        <v>45638</v>
      </c>
      <c r="E25" s="6">
        <v>1</v>
      </c>
      <c r="F25" s="6" t="s">
        <v>13</v>
      </c>
    </row>
    <row r="26" spans="1:6" ht="20.25" thickBot="1" x14ac:dyDescent="0.3">
      <c r="A26" s="6" t="s">
        <v>61</v>
      </c>
      <c r="B26" s="6" t="s">
        <v>62</v>
      </c>
      <c r="C26" s="6" t="s">
        <v>24</v>
      </c>
      <c r="D26" s="7">
        <v>45662</v>
      </c>
      <c r="E26" s="6">
        <v>10</v>
      </c>
      <c r="F26" s="6" t="s">
        <v>9</v>
      </c>
    </row>
    <row r="27" spans="1:6" ht="20.25" thickBot="1" x14ac:dyDescent="0.3">
      <c r="A27" s="6" t="s">
        <v>63</v>
      </c>
      <c r="B27" s="6" t="s">
        <v>7</v>
      </c>
      <c r="C27" s="6" t="s">
        <v>12</v>
      </c>
      <c r="D27" s="7">
        <v>44941</v>
      </c>
      <c r="E27" s="6">
        <v>1</v>
      </c>
      <c r="F27" s="6" t="s">
        <v>9</v>
      </c>
    </row>
    <row r="28" spans="1:6" ht="20.25" thickBot="1" x14ac:dyDescent="0.3">
      <c r="A28" s="6" t="s">
        <v>64</v>
      </c>
      <c r="B28" s="6" t="s">
        <v>11</v>
      </c>
      <c r="C28" s="6" t="s">
        <v>16</v>
      </c>
      <c r="D28" s="8">
        <v>44975</v>
      </c>
      <c r="E28" s="6">
        <v>2</v>
      </c>
      <c r="F28" s="6" t="s">
        <v>13</v>
      </c>
    </row>
    <row r="29" spans="1:6" ht="20.25" thickBot="1" x14ac:dyDescent="0.3">
      <c r="A29" s="6" t="s">
        <v>65</v>
      </c>
      <c r="B29" s="6" t="s">
        <v>15</v>
      </c>
      <c r="C29" s="6" t="s">
        <v>21</v>
      </c>
      <c r="D29" s="7">
        <v>44997</v>
      </c>
      <c r="E29" s="6">
        <v>1</v>
      </c>
      <c r="F29" s="6" t="s">
        <v>9</v>
      </c>
    </row>
    <row r="30" spans="1:6" ht="20.25" thickBot="1" x14ac:dyDescent="0.3">
      <c r="A30" s="6" t="s">
        <v>66</v>
      </c>
      <c r="B30" s="6" t="s">
        <v>18</v>
      </c>
      <c r="C30" s="6" t="s">
        <v>24</v>
      </c>
      <c r="D30" s="8">
        <v>45024</v>
      </c>
      <c r="E30" s="6">
        <v>4</v>
      </c>
      <c r="F30" s="6" t="s">
        <v>13</v>
      </c>
    </row>
    <row r="31" spans="1:6" ht="20.25" thickBot="1" x14ac:dyDescent="0.3">
      <c r="A31" s="6" t="s">
        <v>67</v>
      </c>
      <c r="B31" s="6" t="s">
        <v>20</v>
      </c>
      <c r="C31" s="6" t="s">
        <v>8</v>
      </c>
      <c r="D31" s="7">
        <v>45061</v>
      </c>
      <c r="E31" s="6">
        <v>2</v>
      </c>
      <c r="F31" s="6" t="s">
        <v>9</v>
      </c>
    </row>
    <row r="32" spans="1:6" ht="20.25" thickBot="1" x14ac:dyDescent="0.3">
      <c r="A32" s="6" t="s">
        <v>68</v>
      </c>
      <c r="B32" s="6" t="s">
        <v>23</v>
      </c>
      <c r="C32" s="6" t="s">
        <v>12</v>
      </c>
      <c r="D32" s="8">
        <v>45099</v>
      </c>
      <c r="E32" s="6">
        <v>3</v>
      </c>
      <c r="F32" s="6" t="s">
        <v>13</v>
      </c>
    </row>
    <row r="33" spans="1:6" ht="20.25" thickBot="1" x14ac:dyDescent="0.3">
      <c r="A33" s="6" t="s">
        <v>69</v>
      </c>
      <c r="B33" s="6" t="s">
        <v>26</v>
      </c>
      <c r="C33" s="6" t="s">
        <v>16</v>
      </c>
      <c r="D33" s="7">
        <v>45132</v>
      </c>
      <c r="E33" s="6">
        <v>1</v>
      </c>
      <c r="F33" s="6" t="s">
        <v>9</v>
      </c>
    </row>
    <row r="34" spans="1:6" ht="20.25" thickBot="1" x14ac:dyDescent="0.3">
      <c r="A34" s="6" t="s">
        <v>70</v>
      </c>
      <c r="B34" s="6" t="s">
        <v>28</v>
      </c>
      <c r="C34" s="6" t="s">
        <v>21</v>
      </c>
      <c r="D34" s="8">
        <v>45148</v>
      </c>
      <c r="E34" s="6">
        <v>2</v>
      </c>
      <c r="F34" s="6" t="s">
        <v>13</v>
      </c>
    </row>
    <row r="35" spans="1:6" ht="20.25" thickBot="1" x14ac:dyDescent="0.3">
      <c r="A35" s="6" t="s">
        <v>71</v>
      </c>
      <c r="B35" s="6" t="s">
        <v>30</v>
      </c>
      <c r="C35" s="6" t="s">
        <v>24</v>
      </c>
      <c r="D35" s="7">
        <v>45185</v>
      </c>
      <c r="E35" s="6">
        <v>5</v>
      </c>
      <c r="F35" s="6" t="s">
        <v>9</v>
      </c>
    </row>
    <row r="36" spans="1:6" ht="20.25" thickBot="1" x14ac:dyDescent="0.3">
      <c r="A36" s="6" t="s">
        <v>72</v>
      </c>
      <c r="B36" s="6" t="s">
        <v>32</v>
      </c>
      <c r="C36" s="6" t="s">
        <v>8</v>
      </c>
      <c r="D36" s="8">
        <v>45204</v>
      </c>
      <c r="E36" s="6">
        <v>1</v>
      </c>
      <c r="F36" s="6" t="s">
        <v>13</v>
      </c>
    </row>
    <row r="37" spans="1:6" ht="20.25" thickBot="1" x14ac:dyDescent="0.3">
      <c r="A37" s="6" t="s">
        <v>73</v>
      </c>
      <c r="B37" s="6" t="s">
        <v>34</v>
      </c>
      <c r="C37" s="6" t="s">
        <v>12</v>
      </c>
      <c r="D37" s="7">
        <v>45245</v>
      </c>
      <c r="E37" s="6">
        <v>2</v>
      </c>
      <c r="F37" s="6" t="s">
        <v>9</v>
      </c>
    </row>
    <row r="38" spans="1:6" ht="20.25" thickBot="1" x14ac:dyDescent="0.3">
      <c r="A38" s="6" t="s">
        <v>74</v>
      </c>
      <c r="B38" s="6" t="s">
        <v>36</v>
      </c>
      <c r="C38" s="6" t="s">
        <v>16</v>
      </c>
      <c r="D38" s="8">
        <v>45288</v>
      </c>
      <c r="E38" s="6">
        <v>1</v>
      </c>
      <c r="F38" s="6" t="s">
        <v>13</v>
      </c>
    </row>
    <row r="39" spans="1:6" ht="20.25" thickBot="1" x14ac:dyDescent="0.3">
      <c r="A39" s="6" t="s">
        <v>75</v>
      </c>
      <c r="B39" s="6" t="s">
        <v>38</v>
      </c>
      <c r="C39" s="6" t="s">
        <v>21</v>
      </c>
      <c r="D39" s="7">
        <v>45303</v>
      </c>
      <c r="E39" s="6">
        <v>3</v>
      </c>
      <c r="F39" s="6" t="s">
        <v>9</v>
      </c>
    </row>
    <row r="40" spans="1:6" ht="20.25" thickBot="1" x14ac:dyDescent="0.3">
      <c r="A40" s="6" t="s">
        <v>76</v>
      </c>
      <c r="B40" s="6" t="s">
        <v>40</v>
      </c>
      <c r="C40" s="6" t="s">
        <v>24</v>
      </c>
      <c r="D40" s="8">
        <v>45340</v>
      </c>
      <c r="E40" s="6">
        <v>2</v>
      </c>
      <c r="F40" s="6" t="s">
        <v>13</v>
      </c>
    </row>
    <row r="41" spans="1:6" ht="20.25" thickBot="1" x14ac:dyDescent="0.3">
      <c r="A41" s="6" t="s">
        <v>77</v>
      </c>
      <c r="B41" s="6" t="s">
        <v>42</v>
      </c>
      <c r="C41" s="6" t="s">
        <v>8</v>
      </c>
      <c r="D41" s="7">
        <v>45359</v>
      </c>
      <c r="E41" s="6">
        <v>1</v>
      </c>
      <c r="F41" s="6" t="s">
        <v>9</v>
      </c>
    </row>
    <row r="42" spans="1:6" ht="20.25" thickBot="1" x14ac:dyDescent="0.3">
      <c r="A42" s="6" t="s">
        <v>78</v>
      </c>
      <c r="B42" s="6" t="s">
        <v>44</v>
      </c>
      <c r="C42" s="6" t="s">
        <v>12</v>
      </c>
      <c r="D42" s="8">
        <v>45402</v>
      </c>
      <c r="E42" s="6">
        <v>4</v>
      </c>
      <c r="F42" s="6" t="s">
        <v>13</v>
      </c>
    </row>
    <row r="43" spans="1:6" ht="20.25" thickBot="1" x14ac:dyDescent="0.3">
      <c r="A43" s="6" t="s">
        <v>79</v>
      </c>
      <c r="B43" s="6" t="s">
        <v>46</v>
      </c>
      <c r="C43" s="6" t="s">
        <v>16</v>
      </c>
      <c r="D43" s="7">
        <v>45437</v>
      </c>
      <c r="E43" s="6">
        <v>1</v>
      </c>
      <c r="F43" s="6" t="s">
        <v>9</v>
      </c>
    </row>
    <row r="44" spans="1:6" ht="20.25" thickBot="1" x14ac:dyDescent="0.3">
      <c r="A44" s="6" t="s">
        <v>80</v>
      </c>
      <c r="B44" s="6" t="s">
        <v>48</v>
      </c>
      <c r="C44" s="6" t="s">
        <v>21</v>
      </c>
      <c r="D44" s="8">
        <v>45453</v>
      </c>
      <c r="E44" s="6">
        <v>2</v>
      </c>
      <c r="F44" s="6" t="s">
        <v>13</v>
      </c>
    </row>
    <row r="45" spans="1:6" ht="20.25" thickBot="1" x14ac:dyDescent="0.3">
      <c r="A45" s="6" t="s">
        <v>81</v>
      </c>
      <c r="B45" s="6" t="s">
        <v>50</v>
      </c>
      <c r="C45" s="6" t="s">
        <v>24</v>
      </c>
      <c r="D45" s="7">
        <v>45495</v>
      </c>
      <c r="E45" s="6">
        <v>3</v>
      </c>
      <c r="F45" s="6" t="s">
        <v>9</v>
      </c>
    </row>
    <row r="46" spans="1:6" ht="20.25" thickBot="1" x14ac:dyDescent="0.3">
      <c r="A46" s="6" t="s">
        <v>82</v>
      </c>
      <c r="B46" s="6" t="s">
        <v>52</v>
      </c>
      <c r="C46" s="6" t="s">
        <v>8</v>
      </c>
      <c r="D46" s="8">
        <v>45537</v>
      </c>
      <c r="E46" s="6">
        <v>1</v>
      </c>
      <c r="F46" s="6" t="s">
        <v>13</v>
      </c>
    </row>
    <row r="47" spans="1:6" ht="20.25" thickBot="1" x14ac:dyDescent="0.3">
      <c r="A47" s="6" t="s">
        <v>83</v>
      </c>
      <c r="B47" s="6" t="s">
        <v>54</v>
      </c>
      <c r="C47" s="6" t="s">
        <v>12</v>
      </c>
      <c r="D47" s="7">
        <v>45550</v>
      </c>
      <c r="E47" s="6">
        <v>5</v>
      </c>
      <c r="F47" s="6" t="s">
        <v>9</v>
      </c>
    </row>
    <row r="48" spans="1:6" ht="20.25" thickBot="1" x14ac:dyDescent="0.3">
      <c r="A48" s="6" t="s">
        <v>84</v>
      </c>
      <c r="B48" s="6" t="s">
        <v>56</v>
      </c>
      <c r="C48" s="6" t="s">
        <v>16</v>
      </c>
      <c r="D48" s="8">
        <v>45593</v>
      </c>
      <c r="E48" s="6">
        <v>2</v>
      </c>
      <c r="F48" s="6" t="s">
        <v>13</v>
      </c>
    </row>
    <row r="49" spans="1:6" ht="20.25" thickBot="1" x14ac:dyDescent="0.3">
      <c r="A49" s="6" t="s">
        <v>85</v>
      </c>
      <c r="B49" s="6" t="s">
        <v>58</v>
      </c>
      <c r="C49" s="6" t="s">
        <v>21</v>
      </c>
      <c r="D49" s="7">
        <v>45601</v>
      </c>
      <c r="E49" s="6">
        <v>1</v>
      </c>
      <c r="F49" s="6" t="s">
        <v>9</v>
      </c>
    </row>
    <row r="50" spans="1:6" ht="20.25" thickBot="1" x14ac:dyDescent="0.3">
      <c r="A50" s="6" t="s">
        <v>86</v>
      </c>
      <c r="B50" s="6" t="s">
        <v>60</v>
      </c>
      <c r="C50" s="6" t="s">
        <v>24</v>
      </c>
      <c r="D50" s="8">
        <v>45641</v>
      </c>
      <c r="E50" s="6">
        <v>4</v>
      </c>
      <c r="F50" s="6" t="s">
        <v>13</v>
      </c>
    </row>
    <row r="51" spans="1:6" ht="20.25" thickBot="1" x14ac:dyDescent="0.3">
      <c r="A51" s="6" t="s">
        <v>87</v>
      </c>
      <c r="B51" s="6" t="s">
        <v>62</v>
      </c>
      <c r="C51" s="6" t="s">
        <v>8</v>
      </c>
      <c r="D51" s="7">
        <v>45665</v>
      </c>
      <c r="E51" s="6">
        <v>2</v>
      </c>
      <c r="F51" s="6" t="s">
        <v>9</v>
      </c>
    </row>
    <row r="52" spans="1:6" ht="20.25" thickBot="1" x14ac:dyDescent="0.3">
      <c r="A52" s="6" t="s">
        <v>88</v>
      </c>
      <c r="B52" s="6" t="s">
        <v>7</v>
      </c>
      <c r="C52" s="6" t="s">
        <v>16</v>
      </c>
      <c r="D52" s="7">
        <v>44946</v>
      </c>
      <c r="E52" s="6">
        <v>1</v>
      </c>
      <c r="F52" s="6" t="s">
        <v>9</v>
      </c>
    </row>
    <row r="53" spans="1:6" ht="20.25" thickBot="1" x14ac:dyDescent="0.3">
      <c r="A53" s="6" t="s">
        <v>89</v>
      </c>
      <c r="B53" s="6" t="s">
        <v>11</v>
      </c>
      <c r="C53" s="6" t="s">
        <v>21</v>
      </c>
      <c r="D53" s="8">
        <v>44979</v>
      </c>
      <c r="E53" s="6">
        <v>2</v>
      </c>
      <c r="F53" s="6" t="s">
        <v>13</v>
      </c>
    </row>
    <row r="54" spans="1:6" ht="20.25" thickBot="1" x14ac:dyDescent="0.3">
      <c r="A54" s="6" t="s">
        <v>90</v>
      </c>
      <c r="B54" s="6" t="s">
        <v>15</v>
      </c>
      <c r="C54" s="6" t="s">
        <v>24</v>
      </c>
      <c r="D54" s="7">
        <v>45000</v>
      </c>
      <c r="E54" s="6">
        <v>6</v>
      </c>
      <c r="F54" s="6" t="s">
        <v>9</v>
      </c>
    </row>
    <row r="55" spans="1:6" ht="20.25" thickBot="1" x14ac:dyDescent="0.3">
      <c r="A55" s="6" t="s">
        <v>91</v>
      </c>
      <c r="B55" s="6" t="s">
        <v>18</v>
      </c>
      <c r="C55" s="6" t="s">
        <v>8</v>
      </c>
      <c r="D55" s="8">
        <v>45028</v>
      </c>
      <c r="E55" s="6">
        <v>1</v>
      </c>
      <c r="F55" s="6" t="s">
        <v>13</v>
      </c>
    </row>
    <row r="56" spans="1:6" ht="20.25" thickBot="1" x14ac:dyDescent="0.3">
      <c r="A56" s="6" t="s">
        <v>92</v>
      </c>
      <c r="B56" s="6" t="s">
        <v>20</v>
      </c>
      <c r="C56" s="6" t="s">
        <v>12</v>
      </c>
      <c r="D56" s="7">
        <v>45064</v>
      </c>
      <c r="E56" s="6">
        <v>3</v>
      </c>
      <c r="F56" s="6" t="s">
        <v>9</v>
      </c>
    </row>
    <row r="57" spans="1:6" ht="20.25" thickBot="1" x14ac:dyDescent="0.3">
      <c r="A57" s="6" t="s">
        <v>93</v>
      </c>
      <c r="B57" s="6" t="s">
        <v>23</v>
      </c>
      <c r="C57" s="6" t="s">
        <v>16</v>
      </c>
      <c r="D57" s="8">
        <v>45102</v>
      </c>
      <c r="E57" s="6">
        <v>1</v>
      </c>
      <c r="F57" s="6" t="s">
        <v>13</v>
      </c>
    </row>
    <row r="58" spans="1:6" ht="20.25" thickBot="1" x14ac:dyDescent="0.3">
      <c r="A58" s="6" t="s">
        <v>94</v>
      </c>
      <c r="B58" s="6" t="s">
        <v>26</v>
      </c>
      <c r="C58" s="6" t="s">
        <v>21</v>
      </c>
      <c r="D58" s="7">
        <v>45135</v>
      </c>
      <c r="E58" s="6">
        <v>2</v>
      </c>
      <c r="F58" s="6" t="s">
        <v>9</v>
      </c>
    </row>
    <row r="59" spans="1:6" ht="20.25" thickBot="1" x14ac:dyDescent="0.3">
      <c r="A59" s="6" t="s">
        <v>95</v>
      </c>
      <c r="B59" s="6" t="s">
        <v>28</v>
      </c>
      <c r="C59" s="6" t="s">
        <v>24</v>
      </c>
      <c r="D59" s="8">
        <v>45152</v>
      </c>
      <c r="E59" s="6">
        <v>5</v>
      </c>
      <c r="F59" s="6" t="s">
        <v>13</v>
      </c>
    </row>
    <row r="60" spans="1:6" ht="20.25" thickBot="1" x14ac:dyDescent="0.3">
      <c r="A60" s="6" t="s">
        <v>96</v>
      </c>
      <c r="B60" s="6" t="s">
        <v>30</v>
      </c>
      <c r="C60" s="6" t="s">
        <v>8</v>
      </c>
      <c r="D60" s="7">
        <v>45189</v>
      </c>
      <c r="E60" s="6">
        <v>1</v>
      </c>
      <c r="F60" s="6" t="s">
        <v>9</v>
      </c>
    </row>
    <row r="61" spans="1:6" ht="20.25" thickBot="1" x14ac:dyDescent="0.3">
      <c r="A61" s="6" t="s">
        <v>97</v>
      </c>
      <c r="B61" s="6" t="s">
        <v>32</v>
      </c>
      <c r="C61" s="6" t="s">
        <v>12</v>
      </c>
      <c r="D61" s="8">
        <v>45209</v>
      </c>
      <c r="E61" s="6">
        <v>4</v>
      </c>
      <c r="F61" s="6" t="s">
        <v>13</v>
      </c>
    </row>
    <row r="62" spans="1:6" ht="20.25" thickBot="1" x14ac:dyDescent="0.3">
      <c r="A62" s="6" t="s">
        <v>98</v>
      </c>
      <c r="B62" s="6" t="s">
        <v>34</v>
      </c>
      <c r="C62" s="6" t="s">
        <v>16</v>
      </c>
      <c r="D62" s="7">
        <v>45248</v>
      </c>
      <c r="E62" s="6">
        <v>2</v>
      </c>
      <c r="F62" s="6" t="s">
        <v>9</v>
      </c>
    </row>
    <row r="63" spans="1:6" ht="20.25" thickBot="1" x14ac:dyDescent="0.3">
      <c r="A63" s="6" t="s">
        <v>99</v>
      </c>
      <c r="B63" s="6" t="s">
        <v>36</v>
      </c>
      <c r="C63" s="6" t="s">
        <v>21</v>
      </c>
      <c r="D63" s="8">
        <v>45290</v>
      </c>
      <c r="E63" s="6">
        <v>1</v>
      </c>
      <c r="F63" s="6" t="s">
        <v>13</v>
      </c>
    </row>
    <row r="64" spans="1:6" ht="20.25" thickBot="1" x14ac:dyDescent="0.3">
      <c r="A64" s="6" t="s">
        <v>100</v>
      </c>
      <c r="B64" s="6" t="s">
        <v>38</v>
      </c>
      <c r="C64" s="6" t="s">
        <v>24</v>
      </c>
      <c r="D64" s="7">
        <v>45306</v>
      </c>
      <c r="E64" s="6">
        <v>3</v>
      </c>
      <c r="F64" s="6" t="s">
        <v>9</v>
      </c>
    </row>
    <row r="65" spans="1:6" ht="20.25" thickBot="1" x14ac:dyDescent="0.3">
      <c r="A65" s="6" t="s">
        <v>101</v>
      </c>
      <c r="B65" s="6" t="s">
        <v>40</v>
      </c>
      <c r="C65" s="6" t="s">
        <v>8</v>
      </c>
      <c r="D65" s="8">
        <v>45344</v>
      </c>
      <c r="E65" s="6">
        <v>1</v>
      </c>
      <c r="F65" s="6" t="s">
        <v>13</v>
      </c>
    </row>
    <row r="66" spans="1:6" ht="20.25" thickBot="1" x14ac:dyDescent="0.3">
      <c r="A66" s="6" t="s">
        <v>102</v>
      </c>
      <c r="B66" s="6" t="s">
        <v>42</v>
      </c>
      <c r="C66" s="6" t="s">
        <v>12</v>
      </c>
      <c r="D66" s="7">
        <v>45363</v>
      </c>
      <c r="E66" s="6">
        <v>5</v>
      </c>
      <c r="F66" s="6" t="s">
        <v>9</v>
      </c>
    </row>
    <row r="67" spans="1:6" ht="20.25" thickBot="1" x14ac:dyDescent="0.3">
      <c r="A67" s="6" t="s">
        <v>103</v>
      </c>
      <c r="B67" s="6" t="s">
        <v>44</v>
      </c>
      <c r="C67" s="6" t="s">
        <v>16</v>
      </c>
      <c r="D67" s="8">
        <v>45407</v>
      </c>
      <c r="E67" s="6">
        <v>1</v>
      </c>
      <c r="F67" s="6" t="s">
        <v>13</v>
      </c>
    </row>
    <row r="68" spans="1:6" ht="20.25" thickBot="1" x14ac:dyDescent="0.3">
      <c r="A68" s="6" t="s">
        <v>104</v>
      </c>
      <c r="B68" s="6" t="s">
        <v>46</v>
      </c>
      <c r="C68" s="6" t="s">
        <v>21</v>
      </c>
      <c r="D68" s="7">
        <v>45440</v>
      </c>
      <c r="E68" s="6">
        <v>2</v>
      </c>
      <c r="F68" s="6" t="s">
        <v>9</v>
      </c>
    </row>
    <row r="69" spans="1:6" ht="20.25" thickBot="1" x14ac:dyDescent="0.3">
      <c r="A69" s="6" t="s">
        <v>105</v>
      </c>
      <c r="B69" s="6" t="s">
        <v>48</v>
      </c>
      <c r="C69" s="6" t="s">
        <v>24</v>
      </c>
      <c r="D69" s="8">
        <v>45458</v>
      </c>
      <c r="E69" s="6">
        <v>4</v>
      </c>
      <c r="F69" s="6" t="s">
        <v>13</v>
      </c>
    </row>
    <row r="70" spans="1:6" ht="20.25" thickBot="1" x14ac:dyDescent="0.3">
      <c r="A70" s="6" t="s">
        <v>106</v>
      </c>
      <c r="B70" s="6" t="s">
        <v>50</v>
      </c>
      <c r="C70" s="6" t="s">
        <v>8</v>
      </c>
      <c r="D70" s="7">
        <v>45498</v>
      </c>
      <c r="E70" s="6">
        <v>1</v>
      </c>
      <c r="F70" s="6" t="s">
        <v>9</v>
      </c>
    </row>
    <row r="71" spans="1:6" ht="20.25" thickBot="1" x14ac:dyDescent="0.3">
      <c r="A71" s="6" t="s">
        <v>107</v>
      </c>
      <c r="B71" s="6" t="s">
        <v>52</v>
      </c>
      <c r="C71" s="6" t="s">
        <v>12</v>
      </c>
      <c r="D71" s="8">
        <v>45540</v>
      </c>
      <c r="E71" s="6">
        <v>3</v>
      </c>
      <c r="F71" s="6" t="s">
        <v>13</v>
      </c>
    </row>
    <row r="72" spans="1:6" ht="20.25" thickBot="1" x14ac:dyDescent="0.3">
      <c r="A72" s="6" t="s">
        <v>108</v>
      </c>
      <c r="B72" s="6" t="s">
        <v>54</v>
      </c>
      <c r="C72" s="6" t="s">
        <v>16</v>
      </c>
      <c r="D72" s="7">
        <v>45553</v>
      </c>
      <c r="E72" s="6">
        <v>2</v>
      </c>
      <c r="F72" s="6" t="s">
        <v>9</v>
      </c>
    </row>
    <row r="73" spans="1:6" ht="20.25" thickBot="1" x14ac:dyDescent="0.3">
      <c r="A73" s="6" t="s">
        <v>109</v>
      </c>
      <c r="B73" s="6" t="s">
        <v>56</v>
      </c>
      <c r="C73" s="6" t="s">
        <v>21</v>
      </c>
      <c r="D73" s="8">
        <v>45595</v>
      </c>
      <c r="E73" s="6">
        <v>1</v>
      </c>
      <c r="F73" s="6" t="s">
        <v>13</v>
      </c>
    </row>
    <row r="74" spans="1:6" ht="20.25" thickBot="1" x14ac:dyDescent="0.3">
      <c r="A74" s="6" t="s">
        <v>110</v>
      </c>
      <c r="B74" s="6" t="s">
        <v>58</v>
      </c>
      <c r="C74" s="6" t="s">
        <v>24</v>
      </c>
      <c r="D74" s="7">
        <v>45604</v>
      </c>
      <c r="E74" s="6">
        <v>5</v>
      </c>
      <c r="F74" s="6" t="s">
        <v>9</v>
      </c>
    </row>
    <row r="75" spans="1:6" ht="20.25" thickBot="1" x14ac:dyDescent="0.3">
      <c r="A75" s="6" t="s">
        <v>111</v>
      </c>
      <c r="B75" s="6" t="s">
        <v>60</v>
      </c>
      <c r="C75" s="6" t="s">
        <v>8</v>
      </c>
      <c r="D75" s="8">
        <v>45644</v>
      </c>
      <c r="E75" s="6">
        <v>1</v>
      </c>
      <c r="F75" s="6" t="s">
        <v>13</v>
      </c>
    </row>
    <row r="76" spans="1:6" ht="20.25" thickBot="1" x14ac:dyDescent="0.3">
      <c r="A76" s="6" t="s">
        <v>112</v>
      </c>
      <c r="B76" s="6" t="s">
        <v>62</v>
      </c>
      <c r="C76" s="6" t="s">
        <v>12</v>
      </c>
      <c r="D76" s="7">
        <v>45669</v>
      </c>
      <c r="E76" s="6">
        <v>4</v>
      </c>
      <c r="F76" s="6" t="s">
        <v>9</v>
      </c>
    </row>
    <row r="77" spans="1:6" ht="20.25" thickBot="1" x14ac:dyDescent="0.3">
      <c r="A77" s="6" t="s">
        <v>113</v>
      </c>
      <c r="B77" s="6" t="s">
        <v>7</v>
      </c>
      <c r="C77" s="6" t="s">
        <v>21</v>
      </c>
      <c r="D77" s="7">
        <v>44951</v>
      </c>
      <c r="E77" s="6">
        <v>1</v>
      </c>
      <c r="F77" s="6" t="s">
        <v>9</v>
      </c>
    </row>
    <row r="78" spans="1:6" ht="20.25" thickBot="1" x14ac:dyDescent="0.3">
      <c r="A78" s="6" t="s">
        <v>114</v>
      </c>
      <c r="B78" s="6" t="s">
        <v>11</v>
      </c>
      <c r="C78" s="6" t="s">
        <v>24</v>
      </c>
      <c r="D78" s="8">
        <v>44982</v>
      </c>
      <c r="E78" s="6">
        <v>7</v>
      </c>
      <c r="F78" s="6" t="s">
        <v>13</v>
      </c>
    </row>
    <row r="79" spans="1:6" ht="20.25" thickBot="1" x14ac:dyDescent="0.3">
      <c r="A79" s="6" t="s">
        <v>115</v>
      </c>
      <c r="B79" s="6" t="s">
        <v>15</v>
      </c>
      <c r="C79" s="6" t="s">
        <v>8</v>
      </c>
      <c r="D79" s="7">
        <v>45003</v>
      </c>
      <c r="E79" s="6">
        <v>1</v>
      </c>
      <c r="F79" s="6" t="s">
        <v>9</v>
      </c>
    </row>
    <row r="80" spans="1:6" ht="20.25" thickBot="1" x14ac:dyDescent="0.3">
      <c r="A80" s="6" t="s">
        <v>116</v>
      </c>
      <c r="B80" s="6" t="s">
        <v>18</v>
      </c>
      <c r="C80" s="6" t="s">
        <v>12</v>
      </c>
      <c r="D80" s="8">
        <v>45031</v>
      </c>
      <c r="E80" s="6">
        <v>3</v>
      </c>
      <c r="F80" s="6" t="s">
        <v>13</v>
      </c>
    </row>
    <row r="81" spans="1:6" ht="20.25" thickBot="1" x14ac:dyDescent="0.3">
      <c r="A81" s="6" t="s">
        <v>117</v>
      </c>
      <c r="B81" s="6" t="s">
        <v>20</v>
      </c>
      <c r="C81" s="6" t="s">
        <v>16</v>
      </c>
      <c r="D81" s="7">
        <v>45068</v>
      </c>
      <c r="E81" s="6">
        <v>2</v>
      </c>
      <c r="F81" s="6" t="s">
        <v>9</v>
      </c>
    </row>
    <row r="82" spans="1:6" ht="20.25" thickBot="1" x14ac:dyDescent="0.3">
      <c r="A82" s="6" t="s">
        <v>118</v>
      </c>
      <c r="B82" s="6" t="s">
        <v>23</v>
      </c>
      <c r="C82" s="6" t="s">
        <v>21</v>
      </c>
      <c r="D82" s="8">
        <v>45105</v>
      </c>
      <c r="E82" s="6">
        <v>1</v>
      </c>
      <c r="F82" s="6" t="s">
        <v>13</v>
      </c>
    </row>
    <row r="83" spans="1:6" ht="20.25" thickBot="1" x14ac:dyDescent="0.3">
      <c r="A83" s="6" t="s">
        <v>119</v>
      </c>
      <c r="B83" s="6" t="s">
        <v>26</v>
      </c>
      <c r="C83" s="6" t="s">
        <v>24</v>
      </c>
      <c r="D83" s="7">
        <v>45137</v>
      </c>
      <c r="E83" s="6">
        <v>4</v>
      </c>
      <c r="F83" s="6" t="s">
        <v>9</v>
      </c>
    </row>
    <row r="84" spans="1:6" ht="20.25" thickBot="1" x14ac:dyDescent="0.3">
      <c r="A84" s="6" t="s">
        <v>120</v>
      </c>
      <c r="B84" s="6" t="s">
        <v>28</v>
      </c>
      <c r="C84" s="6" t="s">
        <v>8</v>
      </c>
      <c r="D84" s="8">
        <v>45156</v>
      </c>
      <c r="E84" s="6">
        <v>2</v>
      </c>
      <c r="F84" s="6" t="s">
        <v>13</v>
      </c>
    </row>
    <row r="85" spans="1:6" ht="20.25" thickBot="1" x14ac:dyDescent="0.3">
      <c r="A85" s="6" t="s">
        <v>121</v>
      </c>
      <c r="B85" s="6" t="s">
        <v>30</v>
      </c>
      <c r="C85" s="6" t="s">
        <v>12</v>
      </c>
      <c r="D85" s="7">
        <v>45194</v>
      </c>
      <c r="E85" s="6">
        <v>5</v>
      </c>
      <c r="F85" s="6" t="s">
        <v>9</v>
      </c>
    </row>
    <row r="86" spans="1:6" ht="20.25" thickBot="1" x14ac:dyDescent="0.3">
      <c r="A86" s="6" t="s">
        <v>122</v>
      </c>
      <c r="B86" s="6" t="s">
        <v>32</v>
      </c>
      <c r="C86" s="6" t="s">
        <v>16</v>
      </c>
      <c r="D86" s="8">
        <v>45214</v>
      </c>
      <c r="E86" s="6">
        <v>1</v>
      </c>
      <c r="F86" s="6" t="s">
        <v>13</v>
      </c>
    </row>
    <row r="87" spans="1:6" ht="20.25" thickBot="1" x14ac:dyDescent="0.3">
      <c r="A87" s="6" t="s">
        <v>123</v>
      </c>
      <c r="B87" s="6" t="s">
        <v>34</v>
      </c>
      <c r="C87" s="6" t="s">
        <v>21</v>
      </c>
      <c r="D87" s="7">
        <v>45252</v>
      </c>
      <c r="E87" s="6">
        <v>2</v>
      </c>
      <c r="F87" s="6" t="s">
        <v>9</v>
      </c>
    </row>
    <row r="88" spans="1:6" ht="20.25" thickBot="1" x14ac:dyDescent="0.3">
      <c r="A88" s="6" t="s">
        <v>124</v>
      </c>
      <c r="B88" s="6" t="s">
        <v>36</v>
      </c>
      <c r="C88" s="6" t="s">
        <v>24</v>
      </c>
      <c r="D88" s="8">
        <v>45296</v>
      </c>
      <c r="E88" s="6">
        <v>3</v>
      </c>
      <c r="F88" s="6" t="s">
        <v>13</v>
      </c>
    </row>
    <row r="89" spans="1:6" ht="20.25" thickBot="1" x14ac:dyDescent="0.3">
      <c r="A89" s="6" t="s">
        <v>125</v>
      </c>
      <c r="B89" s="6" t="s">
        <v>38</v>
      </c>
      <c r="C89" s="6" t="s">
        <v>8</v>
      </c>
      <c r="D89" s="7">
        <v>45309</v>
      </c>
      <c r="E89" s="6">
        <v>1</v>
      </c>
      <c r="F89" s="6" t="s">
        <v>9</v>
      </c>
    </row>
    <row r="90" spans="1:6" ht="20.25" thickBot="1" x14ac:dyDescent="0.3">
      <c r="A90" s="6" t="s">
        <v>126</v>
      </c>
      <c r="B90" s="6" t="s">
        <v>40</v>
      </c>
      <c r="C90" s="6" t="s">
        <v>12</v>
      </c>
      <c r="D90" s="8">
        <v>45347</v>
      </c>
      <c r="E90" s="6">
        <v>4</v>
      </c>
      <c r="F90" s="6" t="s">
        <v>13</v>
      </c>
    </row>
    <row r="91" spans="1:6" ht="20.25" thickBot="1" x14ac:dyDescent="0.3">
      <c r="A91" s="6" t="s">
        <v>127</v>
      </c>
      <c r="B91" s="6" t="s">
        <v>42</v>
      </c>
      <c r="C91" s="6" t="s">
        <v>16</v>
      </c>
      <c r="D91" s="7">
        <v>45366</v>
      </c>
      <c r="E91" s="6">
        <v>2</v>
      </c>
      <c r="F91" s="6" t="s">
        <v>9</v>
      </c>
    </row>
    <row r="92" spans="1:6" ht="20.25" thickBot="1" x14ac:dyDescent="0.3">
      <c r="A92" s="6" t="s">
        <v>128</v>
      </c>
      <c r="B92" s="6" t="s">
        <v>44</v>
      </c>
      <c r="C92" s="6" t="s">
        <v>21</v>
      </c>
      <c r="D92" s="8">
        <v>45410</v>
      </c>
      <c r="E92" s="6">
        <v>1</v>
      </c>
      <c r="F92" s="6" t="s">
        <v>13</v>
      </c>
    </row>
    <row r="93" spans="1:6" ht="20.25" thickBot="1" x14ac:dyDescent="0.3">
      <c r="A93" s="6" t="s">
        <v>129</v>
      </c>
      <c r="B93" s="6" t="s">
        <v>46</v>
      </c>
      <c r="C93" s="6" t="s">
        <v>24</v>
      </c>
      <c r="D93" s="7">
        <v>45442</v>
      </c>
      <c r="E93" s="6">
        <v>6</v>
      </c>
      <c r="F93" s="6" t="s">
        <v>9</v>
      </c>
    </row>
    <row r="94" spans="1:6" ht="20.25" thickBot="1" x14ac:dyDescent="0.3">
      <c r="A94" s="6" t="s">
        <v>130</v>
      </c>
      <c r="B94" s="6" t="s">
        <v>48</v>
      </c>
      <c r="C94" s="6" t="s">
        <v>8</v>
      </c>
      <c r="D94" s="8">
        <v>45463</v>
      </c>
      <c r="E94" s="6">
        <v>1</v>
      </c>
      <c r="F94" s="6" t="s">
        <v>13</v>
      </c>
    </row>
    <row r="95" spans="1:6" ht="20.25" thickBot="1" x14ac:dyDescent="0.3">
      <c r="A95" s="6" t="s">
        <v>131</v>
      </c>
      <c r="B95" s="6" t="s">
        <v>50</v>
      </c>
      <c r="C95" s="6" t="s">
        <v>12</v>
      </c>
      <c r="D95" s="7">
        <v>45501</v>
      </c>
      <c r="E95" s="6">
        <v>3</v>
      </c>
      <c r="F95" s="6" t="s">
        <v>9</v>
      </c>
    </row>
    <row r="96" spans="1:6" ht="20.25" thickBot="1" x14ac:dyDescent="0.3">
      <c r="A96" s="6" t="s">
        <v>132</v>
      </c>
      <c r="B96" s="6" t="s">
        <v>52</v>
      </c>
      <c r="C96" s="6" t="s">
        <v>16</v>
      </c>
      <c r="D96" s="8">
        <v>45545</v>
      </c>
      <c r="E96" s="6">
        <v>2</v>
      </c>
      <c r="F96" s="6" t="s">
        <v>13</v>
      </c>
    </row>
    <row r="97" spans="1:6" ht="20.25" thickBot="1" x14ac:dyDescent="0.3">
      <c r="A97" s="6" t="s">
        <v>133</v>
      </c>
      <c r="B97" s="6" t="s">
        <v>54</v>
      </c>
      <c r="C97" s="6" t="s">
        <v>21</v>
      </c>
      <c r="D97" s="7">
        <v>45557</v>
      </c>
      <c r="E97" s="6">
        <v>1</v>
      </c>
      <c r="F97" s="6" t="s">
        <v>9</v>
      </c>
    </row>
    <row r="98" spans="1:6" ht="20.25" thickBot="1" x14ac:dyDescent="0.3">
      <c r="A98" s="6" t="s">
        <v>134</v>
      </c>
      <c r="B98" s="6" t="s">
        <v>56</v>
      </c>
      <c r="C98" s="6" t="s">
        <v>24</v>
      </c>
      <c r="D98" s="8">
        <v>45601</v>
      </c>
      <c r="E98" s="6">
        <v>5</v>
      </c>
      <c r="F98" s="6" t="s">
        <v>13</v>
      </c>
    </row>
    <row r="99" spans="1:6" ht="20.25" thickBot="1" x14ac:dyDescent="0.3">
      <c r="A99" s="6" t="s">
        <v>135</v>
      </c>
      <c r="B99" s="6" t="s">
        <v>58</v>
      </c>
      <c r="C99" s="6" t="s">
        <v>8</v>
      </c>
      <c r="D99" s="7">
        <v>45608</v>
      </c>
      <c r="E99" s="6">
        <v>1</v>
      </c>
      <c r="F99" s="6" t="s">
        <v>9</v>
      </c>
    </row>
    <row r="100" spans="1:6" ht="20.25" thickBot="1" x14ac:dyDescent="0.3">
      <c r="A100" s="6" t="s">
        <v>136</v>
      </c>
      <c r="B100" s="6" t="s">
        <v>60</v>
      </c>
      <c r="C100" s="6" t="s">
        <v>12</v>
      </c>
      <c r="D100" s="8">
        <v>45648</v>
      </c>
      <c r="E100" s="6">
        <v>4</v>
      </c>
      <c r="F100" s="6" t="s">
        <v>13</v>
      </c>
    </row>
    <row r="101" spans="1:6" ht="20.25" thickBot="1" x14ac:dyDescent="0.3">
      <c r="A101" s="6" t="s">
        <v>137</v>
      </c>
      <c r="B101" s="6" t="s">
        <v>62</v>
      </c>
      <c r="C101" s="6" t="s">
        <v>16</v>
      </c>
      <c r="D101" s="7">
        <v>45672</v>
      </c>
      <c r="E101" s="6">
        <v>2</v>
      </c>
      <c r="F101" s="6"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CD811-13BB-4D78-9AC1-86F39D2E82FC}">
  <dimension ref="A1:D6"/>
  <sheetViews>
    <sheetView workbookViewId="0">
      <selection activeCell="G9" sqref="G9"/>
    </sheetView>
  </sheetViews>
  <sheetFormatPr defaultRowHeight="19.5" x14ac:dyDescent="0.55000000000000004"/>
  <cols>
    <col min="1" max="1" width="14.85546875" style="3" bestFit="1" customWidth="1"/>
    <col min="2" max="2" width="22.85546875" style="3" bestFit="1" customWidth="1"/>
    <col min="3" max="3" width="16.28515625" style="3" bestFit="1" customWidth="1"/>
    <col min="4" max="4" width="11.42578125" style="3" bestFit="1" customWidth="1"/>
    <col min="5" max="16384" width="9.140625" style="3"/>
  </cols>
  <sheetData>
    <row r="1" spans="1:4" ht="20.25" thickBot="1" x14ac:dyDescent="0.6">
      <c r="A1" s="5" t="s">
        <v>2</v>
      </c>
      <c r="B1" s="5" t="s">
        <v>138</v>
      </c>
      <c r="C1" s="5" t="s">
        <v>139</v>
      </c>
      <c r="D1" s="5" t="s">
        <v>140</v>
      </c>
    </row>
    <row r="2" spans="1:4" ht="20.25" thickBot="1" x14ac:dyDescent="0.6">
      <c r="A2" s="6" t="s">
        <v>8</v>
      </c>
      <c r="B2" s="6" t="s">
        <v>141</v>
      </c>
      <c r="C2" s="6">
        <v>12500000</v>
      </c>
      <c r="D2" s="6" t="s">
        <v>142</v>
      </c>
    </row>
    <row r="3" spans="1:4" ht="20.25" thickBot="1" x14ac:dyDescent="0.6">
      <c r="A3" s="6" t="s">
        <v>12</v>
      </c>
      <c r="B3" s="6" t="s">
        <v>143</v>
      </c>
      <c r="C3" s="6">
        <v>150000</v>
      </c>
      <c r="D3" s="6" t="s">
        <v>144</v>
      </c>
    </row>
    <row r="4" spans="1:4" ht="20.25" thickBot="1" x14ac:dyDescent="0.6">
      <c r="A4" s="6" t="s">
        <v>16</v>
      </c>
      <c r="B4" s="6" t="s">
        <v>145</v>
      </c>
      <c r="C4" s="6">
        <v>450000</v>
      </c>
      <c r="D4" s="6" t="s">
        <v>144</v>
      </c>
    </row>
    <row r="5" spans="1:4" ht="20.25" thickBot="1" x14ac:dyDescent="0.6">
      <c r="A5" s="6" t="s">
        <v>21</v>
      </c>
      <c r="B5" s="6" t="s">
        <v>146</v>
      </c>
      <c r="C5" s="6">
        <v>2100000</v>
      </c>
      <c r="D5" s="6" t="s">
        <v>142</v>
      </c>
    </row>
    <row r="6" spans="1:4" ht="20.25" thickBot="1" x14ac:dyDescent="0.6">
      <c r="A6" s="6" t="s">
        <v>24</v>
      </c>
      <c r="B6" s="6" t="s">
        <v>147</v>
      </c>
      <c r="C6" s="6">
        <v>95000</v>
      </c>
      <c r="D6" s="6" t="s">
        <v>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280F8-FC01-4733-8FB7-EB7497D30032}">
  <dimension ref="A1:M103"/>
  <sheetViews>
    <sheetView topLeftCell="B1" zoomScale="85" zoomScaleNormal="85" workbookViewId="0">
      <selection activeCell="M4" sqref="A4:M103"/>
    </sheetView>
  </sheetViews>
  <sheetFormatPr defaultRowHeight="21.75" x14ac:dyDescent="0.6"/>
  <cols>
    <col min="1" max="6" width="25.7109375" style="1" customWidth="1"/>
    <col min="7" max="7" width="32.5703125" style="1" customWidth="1"/>
    <col min="8" max="10" width="25.7109375" style="1" customWidth="1"/>
    <col min="11" max="11" width="27.5703125" style="1" customWidth="1"/>
    <col min="12" max="12" width="26.5703125" style="1" customWidth="1"/>
    <col min="13" max="13" width="26.28515625" style="1" customWidth="1"/>
    <col min="14" max="16384" width="9.140625" style="1"/>
  </cols>
  <sheetData>
    <row r="1" spans="1:13" ht="21.75" customHeight="1" x14ac:dyDescent="0.6">
      <c r="A1" s="13" t="s">
        <v>153</v>
      </c>
      <c r="B1" s="13"/>
      <c r="C1" s="13"/>
      <c r="D1" s="13"/>
      <c r="E1" s="13"/>
      <c r="F1" s="13"/>
      <c r="G1" s="13"/>
      <c r="H1" s="13"/>
      <c r="I1" s="13"/>
      <c r="J1" s="13"/>
      <c r="K1" s="13"/>
      <c r="L1" s="13"/>
      <c r="M1" s="13"/>
    </row>
    <row r="2" spans="1:13" ht="21.75" customHeight="1" x14ac:dyDescent="0.6">
      <c r="A2" s="13"/>
      <c r="B2" s="13"/>
      <c r="C2" s="13"/>
      <c r="D2" s="13"/>
      <c r="E2" s="13"/>
      <c r="F2" s="13"/>
      <c r="G2" s="13"/>
      <c r="H2" s="13"/>
      <c r="I2" s="13"/>
      <c r="J2" s="13"/>
      <c r="K2" s="13"/>
      <c r="L2" s="13"/>
      <c r="M2" s="13"/>
    </row>
    <row r="3" spans="1:13" x14ac:dyDescent="0.6">
      <c r="A3" s="14" t="s">
        <v>0</v>
      </c>
      <c r="B3" s="14" t="s">
        <v>1</v>
      </c>
      <c r="C3" s="14" t="s">
        <v>2</v>
      </c>
      <c r="D3" s="14" t="s">
        <v>138</v>
      </c>
      <c r="E3" s="14" t="s">
        <v>139</v>
      </c>
      <c r="F3" s="14" t="s">
        <v>140</v>
      </c>
      <c r="G3" s="14" t="s">
        <v>3</v>
      </c>
      <c r="H3" s="14" t="s">
        <v>148</v>
      </c>
      <c r="I3" s="14" t="s">
        <v>149</v>
      </c>
      <c r="J3" s="14" t="s">
        <v>5</v>
      </c>
      <c r="K3" s="14" t="s">
        <v>150</v>
      </c>
      <c r="L3" s="14" t="s">
        <v>151</v>
      </c>
      <c r="M3" s="14" t="s">
        <v>152</v>
      </c>
    </row>
    <row r="4" spans="1:13" x14ac:dyDescent="0.6">
      <c r="A4" s="2" t="s">
        <v>6</v>
      </c>
      <c r="B4" s="3" t="str">
        <f>PROPER(_xlfn.XLOOKUP(Table1[[#This Row],[ID]],'Data Mentah'!$A$2:$A$101,'Data Mentah'!$B$2:$B$101,"",0))</f>
        <v>Budi Santoso</v>
      </c>
      <c r="C4" s="3" t="str">
        <f>_xlfn.XLOOKUP(Table1[[#This Row],[ID]],'Data Mentah'!$A$2:$A$101,'Data Mentah'!$C$2:$C$101,"",0)</f>
        <v>P-01</v>
      </c>
      <c r="D4" s="3" t="str">
        <f>VLOOKUP(Table1[[#This Row],[Kode Produk]],'Tabel Referensi'!$A$2:$B$6,2,FALSE)</f>
        <v>Laptop Pro 14</v>
      </c>
      <c r="E4" s="10">
        <f>INDEX('Tabel Referensi'!$C$2:$C$6,MATCH(Table1[[#This Row],[Kode Produk]],'Tabel Referensi'!$A$2:$A$6,0))</f>
        <v>12500000</v>
      </c>
      <c r="F4" s="3" t="str">
        <f>INDEX('Tabel Referensi'!$D$2:$D$6,MATCH(Table1[[#This Row],[Kode Produk]],'Tabel Referensi'!$A$2:$A$6,0))</f>
        <v>Komputer</v>
      </c>
      <c r="G4" s="9">
        <f>_xlfn.XLOOKUP(Table1[[#This Row],[ID]],'Data Mentah'!$A$1:$A$101,'Data Mentah'!$D$1:$D$101,"",0)</f>
        <v>44938</v>
      </c>
      <c r="H4" s="3">
        <f>_xlfn.XLOOKUP(Table1[[#This Row],[ID]],'Data Mentah'!$A$1:$A$101,'Data Mentah'!$E$1:$E$101,"",0)</f>
        <v>2</v>
      </c>
      <c r="I4" s="10">
        <f>Table1[[#This Row],[Harga Satuan]]*Table1[[#This Row],[Quantity]]</f>
        <v>25000000</v>
      </c>
      <c r="J4" s="3" t="str">
        <f>INDEX('Data Mentah'!$F$2:$F$101,MATCH(Table1[[#This Row],[ID]],'Data Mentah'!$A$2:$A$101,0))</f>
        <v>Ya</v>
      </c>
      <c r="K4" s="3" t="str">
        <f>IF(AND(Table1[[#This Row],[Member]]="Ya",Table1[[#This Row],[Total Harga]]&gt;=1000000),"10%","0%")</f>
        <v>10%</v>
      </c>
      <c r="L4" s="11">
        <f>Table1[[#This Row],[Total Harga]]*Table1[[#This Row],[Status Diskon]]</f>
        <v>2500000</v>
      </c>
      <c r="M4" s="4">
        <f>Table1[[#This Row],[Total Harga]]-Table1[[#This Row],[Nominal Diskon]]</f>
        <v>22500000</v>
      </c>
    </row>
    <row r="5" spans="1:13" x14ac:dyDescent="0.6">
      <c r="A5" s="2" t="s">
        <v>63</v>
      </c>
      <c r="B5" s="3" t="str">
        <f>PROPER(_xlfn.XLOOKUP(Table1[[#This Row],[ID]],'Data Mentah'!$A$2:$A$101,'Data Mentah'!$B$2:$B$101,"",0))</f>
        <v>Budi Santoso</v>
      </c>
      <c r="C5" s="3" t="str">
        <f>_xlfn.XLOOKUP(Table1[[#This Row],[ID]],'Data Mentah'!$A$2:$A$101,'Data Mentah'!$C$2:$C$101,"",0)</f>
        <v>P-02</v>
      </c>
      <c r="D5" s="3" t="str">
        <f>VLOOKUP(Table1[[#This Row],[Kode Produk]],'Tabel Referensi'!$A$2:$B$6,2,FALSE)</f>
        <v>Mouse Wireless</v>
      </c>
      <c r="E5" s="10">
        <f>INDEX('Tabel Referensi'!$C$2:$C$6,MATCH(Table1[[#This Row],[Kode Produk]],'Tabel Referensi'!$A$2:$A$6,0))</f>
        <v>150000</v>
      </c>
      <c r="F5" s="3" t="str">
        <f>INDEX('Tabel Referensi'!$D$2:$D$6,MATCH(Table1[[#This Row],[Kode Produk]],'Tabel Referensi'!$A$2:$A$6,0))</f>
        <v>Aksesoris</v>
      </c>
      <c r="G5" s="9">
        <f>_xlfn.XLOOKUP(Table1[[#This Row],[ID]],'Data Mentah'!$A$1:$A$101,'Data Mentah'!$D$1:$D$101,"",0)</f>
        <v>44941</v>
      </c>
      <c r="H5" s="3">
        <f>_xlfn.XLOOKUP(Table1[[#This Row],[ID]],'Data Mentah'!$A$1:$A$101,'Data Mentah'!$E$1:$E$101,"",0)</f>
        <v>1</v>
      </c>
      <c r="I5" s="10">
        <f>Table1[[#This Row],[Harga Satuan]]*Table1[[#This Row],[Quantity]]</f>
        <v>150000</v>
      </c>
      <c r="J5" s="3" t="str">
        <f>INDEX('Data Mentah'!$F$2:$F$101,MATCH(Table1[[#This Row],[ID]],'Data Mentah'!$A$2:$A$101,0))</f>
        <v>Ya</v>
      </c>
      <c r="K5" s="3" t="str">
        <f>IF(AND(Table1[[#This Row],[Member]]="Ya",Table1[[#This Row],[Total Harga]]&gt;=1000000),"10%","0%")</f>
        <v>0%</v>
      </c>
      <c r="L5" s="11">
        <f>Table1[[#This Row],[Total Harga]]*Table1[[#This Row],[Status Diskon]]</f>
        <v>0</v>
      </c>
      <c r="M5" s="4">
        <f>Table1[[#This Row],[Total Harga]]-Table1[[#This Row],[Nominal Diskon]]</f>
        <v>150000</v>
      </c>
    </row>
    <row r="6" spans="1:13" x14ac:dyDescent="0.6">
      <c r="A6" s="2" t="s">
        <v>88</v>
      </c>
      <c r="B6" s="3" t="str">
        <f>PROPER(_xlfn.XLOOKUP(Table1[[#This Row],[ID]],'Data Mentah'!$A$2:$A$101,'Data Mentah'!$B$2:$B$101,"",0))</f>
        <v>Budi Santoso</v>
      </c>
      <c r="C6" s="3" t="str">
        <f>_xlfn.XLOOKUP(Table1[[#This Row],[ID]],'Data Mentah'!$A$2:$A$101,'Data Mentah'!$C$2:$C$101,"",0)</f>
        <v>P-03</v>
      </c>
      <c r="D6" s="3" t="str">
        <f>VLOOKUP(Table1[[#This Row],[Kode Produk]],'Tabel Referensi'!$A$2:$B$6,2,FALSE)</f>
        <v>Keyboard Mechanical</v>
      </c>
      <c r="E6" s="10">
        <f>INDEX('Tabel Referensi'!$C$2:$C$6,MATCH(Table1[[#This Row],[Kode Produk]],'Tabel Referensi'!$A$2:$A$6,0))</f>
        <v>450000</v>
      </c>
      <c r="F6" s="3" t="str">
        <f>INDEX('Tabel Referensi'!$D$2:$D$6,MATCH(Table1[[#This Row],[Kode Produk]],'Tabel Referensi'!$A$2:$A$6,0))</f>
        <v>Aksesoris</v>
      </c>
      <c r="G6" s="9">
        <f>_xlfn.XLOOKUP(Table1[[#This Row],[ID]],'Data Mentah'!$A$1:$A$101,'Data Mentah'!$D$1:$D$101,"",0)</f>
        <v>44946</v>
      </c>
      <c r="H6" s="3">
        <f>_xlfn.XLOOKUP(Table1[[#This Row],[ID]],'Data Mentah'!$A$1:$A$101,'Data Mentah'!$E$1:$E$101,"",0)</f>
        <v>1</v>
      </c>
      <c r="I6" s="10">
        <f>Table1[[#This Row],[Harga Satuan]]*Table1[[#This Row],[Quantity]]</f>
        <v>450000</v>
      </c>
      <c r="J6" s="3" t="str">
        <f>INDEX('Data Mentah'!$F$2:$F$101,MATCH(Table1[[#This Row],[ID]],'Data Mentah'!$A$2:$A$101,0))</f>
        <v>Ya</v>
      </c>
      <c r="K6" s="3" t="str">
        <f>IF(AND(Table1[[#This Row],[Member]]="Ya",Table1[[#This Row],[Total Harga]]&gt;=1000000),"10%","0%")</f>
        <v>0%</v>
      </c>
      <c r="L6" s="11">
        <f>Table1[[#This Row],[Total Harga]]*Table1[[#This Row],[Status Diskon]]</f>
        <v>0</v>
      </c>
      <c r="M6" s="4">
        <f>Table1[[#This Row],[Total Harga]]-Table1[[#This Row],[Nominal Diskon]]</f>
        <v>450000</v>
      </c>
    </row>
    <row r="7" spans="1:13" x14ac:dyDescent="0.6">
      <c r="A7" s="2" t="s">
        <v>113</v>
      </c>
      <c r="B7" s="3" t="str">
        <f>PROPER(_xlfn.XLOOKUP(Table1[[#This Row],[ID]],'Data Mentah'!$A$2:$A$101,'Data Mentah'!$B$2:$B$101,"",0))</f>
        <v>Budi Santoso</v>
      </c>
      <c r="C7" s="3" t="str">
        <f>_xlfn.XLOOKUP(Table1[[#This Row],[ID]],'Data Mentah'!$A$2:$A$101,'Data Mentah'!$C$2:$C$101,"",0)</f>
        <v>P-04</v>
      </c>
      <c r="D7" s="3" t="str">
        <f>VLOOKUP(Table1[[#This Row],[Kode Produk]],'Tabel Referensi'!$A$2:$B$6,2,FALSE)</f>
        <v>Monitor 27 Inch</v>
      </c>
      <c r="E7" s="10">
        <f>INDEX('Tabel Referensi'!$C$2:$C$6,MATCH(Table1[[#This Row],[Kode Produk]],'Tabel Referensi'!$A$2:$A$6,0))</f>
        <v>2100000</v>
      </c>
      <c r="F7" s="3" t="str">
        <f>INDEX('Tabel Referensi'!$D$2:$D$6,MATCH(Table1[[#This Row],[Kode Produk]],'Tabel Referensi'!$A$2:$A$6,0))</f>
        <v>Komputer</v>
      </c>
      <c r="G7" s="9">
        <f>_xlfn.XLOOKUP(Table1[[#This Row],[ID]],'Data Mentah'!$A$1:$A$101,'Data Mentah'!$D$1:$D$101,"",0)</f>
        <v>44951</v>
      </c>
      <c r="H7" s="3">
        <f>_xlfn.XLOOKUP(Table1[[#This Row],[ID]],'Data Mentah'!$A$1:$A$101,'Data Mentah'!$E$1:$E$101,"",0)</f>
        <v>1</v>
      </c>
      <c r="I7" s="10">
        <f>Table1[[#This Row],[Harga Satuan]]*Table1[[#This Row],[Quantity]]</f>
        <v>2100000</v>
      </c>
      <c r="J7" s="3" t="str">
        <f>INDEX('Data Mentah'!$F$2:$F$101,MATCH(Table1[[#This Row],[ID]],'Data Mentah'!$A$2:$A$101,0))</f>
        <v>Ya</v>
      </c>
      <c r="K7" s="3" t="str">
        <f>IF(AND(Table1[[#This Row],[Member]]="Ya",Table1[[#This Row],[Total Harga]]&gt;=1000000),"10%","0%")</f>
        <v>10%</v>
      </c>
      <c r="L7" s="11">
        <f>Table1[[#This Row],[Total Harga]]*Table1[[#This Row],[Status Diskon]]</f>
        <v>210000</v>
      </c>
      <c r="M7" s="4">
        <f>Table1[[#This Row],[Total Harga]]-Table1[[#This Row],[Nominal Diskon]]</f>
        <v>1890000</v>
      </c>
    </row>
    <row r="8" spans="1:13" x14ac:dyDescent="0.6">
      <c r="A8" s="2" t="s">
        <v>10</v>
      </c>
      <c r="B8" s="3" t="str">
        <f>PROPER(_xlfn.XLOOKUP(Table1[[#This Row],[ID]],'Data Mentah'!$A$2:$A$101,'Data Mentah'!$B$2:$B$101,"",0))</f>
        <v>Siti Aminah</v>
      </c>
      <c r="C8" s="3" t="str">
        <f>_xlfn.XLOOKUP(Table1[[#This Row],[ID]],'Data Mentah'!$A$2:$A$101,'Data Mentah'!$C$2:$C$101,"",0)</f>
        <v>P-02</v>
      </c>
      <c r="D8" s="3" t="str">
        <f>VLOOKUP(Table1[[#This Row],[Kode Produk]],'Tabel Referensi'!$A$2:$B$6,2,FALSE)</f>
        <v>Mouse Wireless</v>
      </c>
      <c r="E8" s="10">
        <f>INDEX('Tabel Referensi'!$C$2:$C$6,MATCH(Table1[[#This Row],[Kode Produk]],'Tabel Referensi'!$A$2:$A$6,0))</f>
        <v>150000</v>
      </c>
      <c r="F8" s="3" t="str">
        <f>INDEX('Tabel Referensi'!$D$2:$D$6,MATCH(Table1[[#This Row],[Kode Produk]],'Tabel Referensi'!$A$2:$A$6,0))</f>
        <v>Aksesoris</v>
      </c>
      <c r="G8" s="9">
        <f>_xlfn.XLOOKUP(Table1[[#This Row],[ID]],'Data Mentah'!$A$1:$A$101,'Data Mentah'!$D$1:$D$101,"",0)</f>
        <v>44972</v>
      </c>
      <c r="H8" s="3">
        <f>_xlfn.XLOOKUP(Table1[[#This Row],[ID]],'Data Mentah'!$A$1:$A$101,'Data Mentah'!$E$1:$E$101,"",0)</f>
        <v>1</v>
      </c>
      <c r="I8" s="10">
        <f>Table1[[#This Row],[Harga Satuan]]*Table1[[#This Row],[Quantity]]</f>
        <v>150000</v>
      </c>
      <c r="J8" s="3" t="str">
        <f>INDEX('Data Mentah'!$F$2:$F$101,MATCH(Table1[[#This Row],[ID]],'Data Mentah'!$A$2:$A$101,0))</f>
        <v>Tidak</v>
      </c>
      <c r="K8" s="3" t="str">
        <f>IF(AND(Table1[[#This Row],[Member]]="Ya",Table1[[#This Row],[Total Harga]]&gt;=1000000),"10%","0%")</f>
        <v>0%</v>
      </c>
      <c r="L8" s="11">
        <f>Table1[[#This Row],[Total Harga]]*Table1[[#This Row],[Status Diskon]]</f>
        <v>0</v>
      </c>
      <c r="M8" s="4">
        <f>Table1[[#This Row],[Total Harga]]-Table1[[#This Row],[Nominal Diskon]]</f>
        <v>150000</v>
      </c>
    </row>
    <row r="9" spans="1:13" x14ac:dyDescent="0.6">
      <c r="A9" s="2" t="s">
        <v>64</v>
      </c>
      <c r="B9" s="3" t="str">
        <f>PROPER(_xlfn.XLOOKUP(Table1[[#This Row],[ID]],'Data Mentah'!$A$2:$A$101,'Data Mentah'!$B$2:$B$101,"",0))</f>
        <v>Siti Aminah</v>
      </c>
      <c r="C9" s="3" t="str">
        <f>_xlfn.XLOOKUP(Table1[[#This Row],[ID]],'Data Mentah'!$A$2:$A$101,'Data Mentah'!$C$2:$C$101,"",0)</f>
        <v>P-03</v>
      </c>
      <c r="D9" s="3" t="str">
        <f>VLOOKUP(Table1[[#This Row],[Kode Produk]],'Tabel Referensi'!$A$2:$B$6,2,FALSE)</f>
        <v>Keyboard Mechanical</v>
      </c>
      <c r="E9" s="10">
        <f>INDEX('Tabel Referensi'!$C$2:$C$6,MATCH(Table1[[#This Row],[Kode Produk]],'Tabel Referensi'!$A$2:$A$6,0))</f>
        <v>450000</v>
      </c>
      <c r="F9" s="3" t="str">
        <f>INDEX('Tabel Referensi'!$D$2:$D$6,MATCH(Table1[[#This Row],[Kode Produk]],'Tabel Referensi'!$A$2:$A$6,0))</f>
        <v>Aksesoris</v>
      </c>
      <c r="G9" s="9">
        <f>_xlfn.XLOOKUP(Table1[[#This Row],[ID]],'Data Mentah'!$A$1:$A$101,'Data Mentah'!$D$1:$D$101,"",0)</f>
        <v>44975</v>
      </c>
      <c r="H9" s="3">
        <f>_xlfn.XLOOKUP(Table1[[#This Row],[ID]],'Data Mentah'!$A$1:$A$101,'Data Mentah'!$E$1:$E$101,"",0)</f>
        <v>2</v>
      </c>
      <c r="I9" s="10">
        <f>Table1[[#This Row],[Harga Satuan]]*Table1[[#This Row],[Quantity]]</f>
        <v>900000</v>
      </c>
      <c r="J9" s="3" t="str">
        <f>INDEX('Data Mentah'!$F$2:$F$101,MATCH(Table1[[#This Row],[ID]],'Data Mentah'!$A$2:$A$101,0))</f>
        <v>Tidak</v>
      </c>
      <c r="K9" s="3" t="str">
        <f>IF(AND(Table1[[#This Row],[Member]]="Ya",Table1[[#This Row],[Total Harga]]&gt;=1000000),"10%","0%")</f>
        <v>0%</v>
      </c>
      <c r="L9" s="11">
        <f>Table1[[#This Row],[Total Harga]]*Table1[[#This Row],[Status Diskon]]</f>
        <v>0</v>
      </c>
      <c r="M9" s="4">
        <f>Table1[[#This Row],[Total Harga]]-Table1[[#This Row],[Nominal Diskon]]</f>
        <v>900000</v>
      </c>
    </row>
    <row r="10" spans="1:13" x14ac:dyDescent="0.6">
      <c r="A10" s="2" t="s">
        <v>89</v>
      </c>
      <c r="B10" s="3" t="str">
        <f>PROPER(_xlfn.XLOOKUP(Table1[[#This Row],[ID]],'Data Mentah'!$A$2:$A$101,'Data Mentah'!$B$2:$B$101,"",0))</f>
        <v>Siti Aminah</v>
      </c>
      <c r="C10" s="3" t="str">
        <f>_xlfn.XLOOKUP(Table1[[#This Row],[ID]],'Data Mentah'!$A$2:$A$101,'Data Mentah'!$C$2:$C$101,"",0)</f>
        <v>P-04</v>
      </c>
      <c r="D10" s="3" t="str">
        <f>VLOOKUP(Table1[[#This Row],[Kode Produk]],'Tabel Referensi'!$A$2:$B$6,2,FALSE)</f>
        <v>Monitor 27 Inch</v>
      </c>
      <c r="E10" s="10">
        <f>INDEX('Tabel Referensi'!$C$2:$C$6,MATCH(Table1[[#This Row],[Kode Produk]],'Tabel Referensi'!$A$2:$A$6,0))</f>
        <v>2100000</v>
      </c>
      <c r="F10" s="3" t="str">
        <f>INDEX('Tabel Referensi'!$D$2:$D$6,MATCH(Table1[[#This Row],[Kode Produk]],'Tabel Referensi'!$A$2:$A$6,0))</f>
        <v>Komputer</v>
      </c>
      <c r="G10" s="9">
        <f>_xlfn.XLOOKUP(Table1[[#This Row],[ID]],'Data Mentah'!$A$1:$A$101,'Data Mentah'!$D$1:$D$101,"",0)</f>
        <v>44979</v>
      </c>
      <c r="H10" s="3">
        <f>_xlfn.XLOOKUP(Table1[[#This Row],[ID]],'Data Mentah'!$A$1:$A$101,'Data Mentah'!$E$1:$E$101,"",0)</f>
        <v>2</v>
      </c>
      <c r="I10" s="10">
        <f>Table1[[#This Row],[Harga Satuan]]*Table1[[#This Row],[Quantity]]</f>
        <v>4200000</v>
      </c>
      <c r="J10" s="3" t="str">
        <f>INDEX('Data Mentah'!$F$2:$F$101,MATCH(Table1[[#This Row],[ID]],'Data Mentah'!$A$2:$A$101,0))</f>
        <v>Tidak</v>
      </c>
      <c r="K10" s="3" t="str">
        <f>IF(AND(Table1[[#This Row],[Member]]="Ya",Table1[[#This Row],[Total Harga]]&gt;=1000000),"10%","0%")</f>
        <v>0%</v>
      </c>
      <c r="L10" s="11">
        <f>Table1[[#This Row],[Total Harga]]*Table1[[#This Row],[Status Diskon]]</f>
        <v>0</v>
      </c>
      <c r="M10" s="4">
        <f>Table1[[#This Row],[Total Harga]]-Table1[[#This Row],[Nominal Diskon]]</f>
        <v>4200000</v>
      </c>
    </row>
    <row r="11" spans="1:13" x14ac:dyDescent="0.6">
      <c r="A11" s="2" t="s">
        <v>114</v>
      </c>
      <c r="B11" s="3" t="str">
        <f>PROPER(_xlfn.XLOOKUP(Table1[[#This Row],[ID]],'Data Mentah'!$A$2:$A$101,'Data Mentah'!$B$2:$B$101,"",0))</f>
        <v>Siti Aminah</v>
      </c>
      <c r="C11" s="3" t="str">
        <f>_xlfn.XLOOKUP(Table1[[#This Row],[ID]],'Data Mentah'!$A$2:$A$101,'Data Mentah'!$C$2:$C$101,"",0)</f>
        <v>P-05</v>
      </c>
      <c r="D11" s="3" t="str">
        <f>VLOOKUP(Table1[[#This Row],[Kode Produk]],'Tabel Referensi'!$A$2:$B$6,2,FALSE)</f>
        <v>Flashdisk 64GB</v>
      </c>
      <c r="E11" s="10">
        <f>INDEX('Tabel Referensi'!$C$2:$C$6,MATCH(Table1[[#This Row],[Kode Produk]],'Tabel Referensi'!$A$2:$A$6,0))</f>
        <v>95000</v>
      </c>
      <c r="F11" s="3" t="str">
        <f>INDEX('Tabel Referensi'!$D$2:$D$6,MATCH(Table1[[#This Row],[Kode Produk]],'Tabel Referensi'!$A$2:$A$6,0))</f>
        <v>Aksesoris</v>
      </c>
      <c r="G11" s="9">
        <f>_xlfn.XLOOKUP(Table1[[#This Row],[ID]],'Data Mentah'!$A$1:$A$101,'Data Mentah'!$D$1:$D$101,"",0)</f>
        <v>44982</v>
      </c>
      <c r="H11" s="3">
        <f>_xlfn.XLOOKUP(Table1[[#This Row],[ID]],'Data Mentah'!$A$1:$A$101,'Data Mentah'!$E$1:$E$101,"",0)</f>
        <v>7</v>
      </c>
      <c r="I11" s="10">
        <f>Table1[[#This Row],[Harga Satuan]]*Table1[[#This Row],[Quantity]]</f>
        <v>665000</v>
      </c>
      <c r="J11" s="3" t="str">
        <f>INDEX('Data Mentah'!$F$2:$F$101,MATCH(Table1[[#This Row],[ID]],'Data Mentah'!$A$2:$A$101,0))</f>
        <v>Tidak</v>
      </c>
      <c r="K11" s="3" t="str">
        <f>IF(AND(Table1[[#This Row],[Member]]="Ya",Table1[[#This Row],[Total Harga]]&gt;=1000000),"10%","0%")</f>
        <v>0%</v>
      </c>
      <c r="L11" s="11">
        <f>Table1[[#This Row],[Total Harga]]*Table1[[#This Row],[Status Diskon]]</f>
        <v>0</v>
      </c>
      <c r="M11" s="4">
        <f>Table1[[#This Row],[Total Harga]]-Table1[[#This Row],[Nominal Diskon]]</f>
        <v>665000</v>
      </c>
    </row>
    <row r="12" spans="1:13" x14ac:dyDescent="0.6">
      <c r="A12" s="2" t="s">
        <v>14</v>
      </c>
      <c r="B12" s="3" t="str">
        <f>PROPER(_xlfn.XLOOKUP(Table1[[#This Row],[ID]],'Data Mentah'!$A$2:$A$101,'Data Mentah'!$B$2:$B$101,"",0))</f>
        <v>Andi Wijaya</v>
      </c>
      <c r="C12" s="3" t="str">
        <f>_xlfn.XLOOKUP(Table1[[#This Row],[ID]],'Data Mentah'!$A$2:$A$101,'Data Mentah'!$C$2:$C$101,"",0)</f>
        <v>P-03</v>
      </c>
      <c r="D12" s="3" t="str">
        <f>VLOOKUP(Table1[[#This Row],[Kode Produk]],'Tabel Referensi'!$A$2:$B$6,2,FALSE)</f>
        <v>Keyboard Mechanical</v>
      </c>
      <c r="E12" s="10">
        <f>INDEX('Tabel Referensi'!$C$2:$C$6,MATCH(Table1[[#This Row],[Kode Produk]],'Tabel Referensi'!$A$2:$A$6,0))</f>
        <v>450000</v>
      </c>
      <c r="F12" s="3" t="str">
        <f>INDEX('Tabel Referensi'!$D$2:$D$6,MATCH(Table1[[#This Row],[Kode Produk]],'Tabel Referensi'!$A$2:$A$6,0))</f>
        <v>Aksesoris</v>
      </c>
      <c r="G12" s="9">
        <f>_xlfn.XLOOKUP(Table1[[#This Row],[ID]],'Data Mentah'!$A$1:$A$101,'Data Mentah'!$D$1:$D$101,"",0)</f>
        <v>44995</v>
      </c>
      <c r="H12" s="3">
        <f>_xlfn.XLOOKUP(Table1[[#This Row],[ID]],'Data Mentah'!$A$1:$A$101,'Data Mentah'!$E$1:$E$101,"",0)</f>
        <v>3</v>
      </c>
      <c r="I12" s="10">
        <f>Table1[[#This Row],[Harga Satuan]]*Table1[[#This Row],[Quantity]]</f>
        <v>1350000</v>
      </c>
      <c r="J12" s="3" t="str">
        <f>INDEX('Data Mentah'!$F$2:$F$101,MATCH(Table1[[#This Row],[ID]],'Data Mentah'!$A$2:$A$101,0))</f>
        <v>Ya</v>
      </c>
      <c r="K12" s="3" t="str">
        <f>IF(AND(Table1[[#This Row],[Member]]="Ya",Table1[[#This Row],[Total Harga]]&gt;=1000000),"10%","0%")</f>
        <v>10%</v>
      </c>
      <c r="L12" s="11">
        <f>Table1[[#This Row],[Total Harga]]*Table1[[#This Row],[Status Diskon]]</f>
        <v>135000</v>
      </c>
      <c r="M12" s="4">
        <f>Table1[[#This Row],[Total Harga]]-Table1[[#This Row],[Nominal Diskon]]</f>
        <v>1215000</v>
      </c>
    </row>
    <row r="13" spans="1:13" x14ac:dyDescent="0.6">
      <c r="A13" s="2" t="s">
        <v>65</v>
      </c>
      <c r="B13" s="3" t="str">
        <f>PROPER(_xlfn.XLOOKUP(Table1[[#This Row],[ID]],'Data Mentah'!$A$2:$A$101,'Data Mentah'!$B$2:$B$101,"",0))</f>
        <v>Andi Wijaya</v>
      </c>
      <c r="C13" s="3" t="str">
        <f>_xlfn.XLOOKUP(Table1[[#This Row],[ID]],'Data Mentah'!$A$2:$A$101,'Data Mentah'!$C$2:$C$101,"",0)</f>
        <v>P-04</v>
      </c>
      <c r="D13" s="3" t="str">
        <f>VLOOKUP(Table1[[#This Row],[Kode Produk]],'Tabel Referensi'!$A$2:$B$6,2,FALSE)</f>
        <v>Monitor 27 Inch</v>
      </c>
      <c r="E13" s="10">
        <f>INDEX('Tabel Referensi'!$C$2:$C$6,MATCH(Table1[[#This Row],[Kode Produk]],'Tabel Referensi'!$A$2:$A$6,0))</f>
        <v>2100000</v>
      </c>
      <c r="F13" s="3" t="str">
        <f>INDEX('Tabel Referensi'!$D$2:$D$6,MATCH(Table1[[#This Row],[Kode Produk]],'Tabel Referensi'!$A$2:$A$6,0))</f>
        <v>Komputer</v>
      </c>
      <c r="G13" s="9">
        <f>_xlfn.XLOOKUP(Table1[[#This Row],[ID]],'Data Mentah'!$A$1:$A$101,'Data Mentah'!$D$1:$D$101,"",0)</f>
        <v>44997</v>
      </c>
      <c r="H13" s="3">
        <f>_xlfn.XLOOKUP(Table1[[#This Row],[ID]],'Data Mentah'!$A$1:$A$101,'Data Mentah'!$E$1:$E$101,"",0)</f>
        <v>1</v>
      </c>
      <c r="I13" s="10">
        <f>Table1[[#This Row],[Harga Satuan]]*Table1[[#This Row],[Quantity]]</f>
        <v>2100000</v>
      </c>
      <c r="J13" s="3" t="str">
        <f>INDEX('Data Mentah'!$F$2:$F$101,MATCH(Table1[[#This Row],[ID]],'Data Mentah'!$A$2:$A$101,0))</f>
        <v>Ya</v>
      </c>
      <c r="K13" s="3" t="str">
        <f>IF(AND(Table1[[#This Row],[Member]]="Ya",Table1[[#This Row],[Total Harga]]&gt;=1000000),"10%","0%")</f>
        <v>10%</v>
      </c>
      <c r="L13" s="11">
        <f>Table1[[#This Row],[Total Harga]]*Table1[[#This Row],[Status Diskon]]</f>
        <v>210000</v>
      </c>
      <c r="M13" s="4">
        <f>Table1[[#This Row],[Total Harga]]-Table1[[#This Row],[Nominal Diskon]]</f>
        <v>1890000</v>
      </c>
    </row>
    <row r="14" spans="1:13" x14ac:dyDescent="0.6">
      <c r="A14" s="2" t="s">
        <v>90</v>
      </c>
      <c r="B14" s="3" t="str">
        <f>PROPER(_xlfn.XLOOKUP(Table1[[#This Row],[ID]],'Data Mentah'!$A$2:$A$101,'Data Mentah'!$B$2:$B$101,"",0))</f>
        <v>Andi Wijaya</v>
      </c>
      <c r="C14" s="3" t="str">
        <f>_xlfn.XLOOKUP(Table1[[#This Row],[ID]],'Data Mentah'!$A$2:$A$101,'Data Mentah'!$C$2:$C$101,"",0)</f>
        <v>P-05</v>
      </c>
      <c r="D14" s="3" t="str">
        <f>VLOOKUP(Table1[[#This Row],[Kode Produk]],'Tabel Referensi'!$A$2:$B$6,2,FALSE)</f>
        <v>Flashdisk 64GB</v>
      </c>
      <c r="E14" s="10">
        <f>INDEX('Tabel Referensi'!$C$2:$C$6,MATCH(Table1[[#This Row],[Kode Produk]],'Tabel Referensi'!$A$2:$A$6,0))</f>
        <v>95000</v>
      </c>
      <c r="F14" s="3" t="str">
        <f>INDEX('Tabel Referensi'!$D$2:$D$6,MATCH(Table1[[#This Row],[Kode Produk]],'Tabel Referensi'!$A$2:$A$6,0))</f>
        <v>Aksesoris</v>
      </c>
      <c r="G14" s="9">
        <f>_xlfn.XLOOKUP(Table1[[#This Row],[ID]],'Data Mentah'!$A$1:$A$101,'Data Mentah'!$D$1:$D$101,"",0)</f>
        <v>45000</v>
      </c>
      <c r="H14" s="3">
        <f>_xlfn.XLOOKUP(Table1[[#This Row],[ID]],'Data Mentah'!$A$1:$A$101,'Data Mentah'!$E$1:$E$101,"",0)</f>
        <v>6</v>
      </c>
      <c r="I14" s="10">
        <f>Table1[[#This Row],[Harga Satuan]]*Table1[[#This Row],[Quantity]]</f>
        <v>570000</v>
      </c>
      <c r="J14" s="3" t="str">
        <f>INDEX('Data Mentah'!$F$2:$F$101,MATCH(Table1[[#This Row],[ID]],'Data Mentah'!$A$2:$A$101,0))</f>
        <v>Ya</v>
      </c>
      <c r="K14" s="3" t="str">
        <f>IF(AND(Table1[[#This Row],[Member]]="Ya",Table1[[#This Row],[Total Harga]]&gt;=1000000),"10%","0%")</f>
        <v>0%</v>
      </c>
      <c r="L14" s="11">
        <f>Table1[[#This Row],[Total Harga]]*Table1[[#This Row],[Status Diskon]]</f>
        <v>0</v>
      </c>
      <c r="M14" s="4">
        <f>Table1[[#This Row],[Total Harga]]-Table1[[#This Row],[Nominal Diskon]]</f>
        <v>570000</v>
      </c>
    </row>
    <row r="15" spans="1:13" x14ac:dyDescent="0.6">
      <c r="A15" s="2" t="s">
        <v>115</v>
      </c>
      <c r="B15" s="3" t="str">
        <f>PROPER(_xlfn.XLOOKUP(Table1[[#This Row],[ID]],'Data Mentah'!$A$2:$A$101,'Data Mentah'!$B$2:$B$101,"",0))</f>
        <v>Andi Wijaya</v>
      </c>
      <c r="C15" s="3" t="str">
        <f>_xlfn.XLOOKUP(Table1[[#This Row],[ID]],'Data Mentah'!$A$2:$A$101,'Data Mentah'!$C$2:$C$101,"",0)</f>
        <v>P-01</v>
      </c>
      <c r="D15" s="3" t="str">
        <f>VLOOKUP(Table1[[#This Row],[Kode Produk]],'Tabel Referensi'!$A$2:$B$6,2,FALSE)</f>
        <v>Laptop Pro 14</v>
      </c>
      <c r="E15" s="10">
        <f>INDEX('Tabel Referensi'!$C$2:$C$6,MATCH(Table1[[#This Row],[Kode Produk]],'Tabel Referensi'!$A$2:$A$6,0))</f>
        <v>12500000</v>
      </c>
      <c r="F15" s="3" t="str">
        <f>INDEX('Tabel Referensi'!$D$2:$D$6,MATCH(Table1[[#This Row],[Kode Produk]],'Tabel Referensi'!$A$2:$A$6,0))</f>
        <v>Komputer</v>
      </c>
      <c r="G15" s="9">
        <f>_xlfn.XLOOKUP(Table1[[#This Row],[ID]],'Data Mentah'!$A$1:$A$101,'Data Mentah'!$D$1:$D$101,"",0)</f>
        <v>45003</v>
      </c>
      <c r="H15" s="3">
        <f>_xlfn.XLOOKUP(Table1[[#This Row],[ID]],'Data Mentah'!$A$1:$A$101,'Data Mentah'!$E$1:$E$101,"",0)</f>
        <v>1</v>
      </c>
      <c r="I15" s="10">
        <f>Table1[[#This Row],[Harga Satuan]]*Table1[[#This Row],[Quantity]]</f>
        <v>12500000</v>
      </c>
      <c r="J15" s="3" t="str">
        <f>INDEX('Data Mentah'!$F$2:$F$101,MATCH(Table1[[#This Row],[ID]],'Data Mentah'!$A$2:$A$101,0))</f>
        <v>Ya</v>
      </c>
      <c r="K15" s="3" t="str">
        <f>IF(AND(Table1[[#This Row],[Member]]="Ya",Table1[[#This Row],[Total Harga]]&gt;=1000000),"10%","0%")</f>
        <v>10%</v>
      </c>
      <c r="L15" s="11">
        <f>Table1[[#This Row],[Total Harga]]*Table1[[#This Row],[Status Diskon]]</f>
        <v>1250000</v>
      </c>
      <c r="M15" s="4">
        <f>Table1[[#This Row],[Total Harga]]-Table1[[#This Row],[Nominal Diskon]]</f>
        <v>11250000</v>
      </c>
    </row>
    <row r="16" spans="1:13" x14ac:dyDescent="0.6">
      <c r="A16" s="2" t="s">
        <v>17</v>
      </c>
      <c r="B16" s="3" t="str">
        <f>PROPER(_xlfn.XLOOKUP(Table1[[#This Row],[ID]],'Data Mentah'!$A$2:$A$101,'Data Mentah'!$B$2:$B$101,"",0))</f>
        <v>Dewi Lestari</v>
      </c>
      <c r="C16" s="3" t="str">
        <f>_xlfn.XLOOKUP(Table1[[#This Row],[ID]],'Data Mentah'!$A$2:$A$101,'Data Mentah'!$C$2:$C$101,"",0)</f>
        <v>P-01</v>
      </c>
      <c r="D16" s="3" t="str">
        <f>VLOOKUP(Table1[[#This Row],[Kode Produk]],'Tabel Referensi'!$A$2:$B$6,2,FALSE)</f>
        <v>Laptop Pro 14</v>
      </c>
      <c r="E16" s="10">
        <f>INDEX('Tabel Referensi'!$C$2:$C$6,MATCH(Table1[[#This Row],[Kode Produk]],'Tabel Referensi'!$A$2:$A$6,0))</f>
        <v>12500000</v>
      </c>
      <c r="F16" s="3" t="str">
        <f>INDEX('Tabel Referensi'!$D$2:$D$6,MATCH(Table1[[#This Row],[Kode Produk]],'Tabel Referensi'!$A$2:$A$6,0))</f>
        <v>Komputer</v>
      </c>
      <c r="G16" s="9">
        <f>_xlfn.XLOOKUP(Table1[[#This Row],[ID]],'Data Mentah'!$A$1:$A$101,'Data Mentah'!$D$1:$D$101,"",0)</f>
        <v>45021</v>
      </c>
      <c r="H16" s="3">
        <f>_xlfn.XLOOKUP(Table1[[#This Row],[ID]],'Data Mentah'!$A$1:$A$101,'Data Mentah'!$E$1:$E$101,"",0)</f>
        <v>1</v>
      </c>
      <c r="I16" s="10">
        <f>Table1[[#This Row],[Harga Satuan]]*Table1[[#This Row],[Quantity]]</f>
        <v>12500000</v>
      </c>
      <c r="J16" s="3" t="str">
        <f>INDEX('Data Mentah'!$F$2:$F$101,MATCH(Table1[[#This Row],[ID]],'Data Mentah'!$A$2:$A$101,0))</f>
        <v>Tidak</v>
      </c>
      <c r="K16" s="3" t="str">
        <f>IF(AND(Table1[[#This Row],[Member]]="Ya",Table1[[#This Row],[Total Harga]]&gt;=1000000),"10%","0%")</f>
        <v>0%</v>
      </c>
      <c r="L16" s="11">
        <f>Table1[[#This Row],[Total Harga]]*Table1[[#This Row],[Status Diskon]]</f>
        <v>0</v>
      </c>
      <c r="M16" s="4">
        <f>Table1[[#This Row],[Total Harga]]-Table1[[#This Row],[Nominal Diskon]]</f>
        <v>12500000</v>
      </c>
    </row>
    <row r="17" spans="1:13" x14ac:dyDescent="0.6">
      <c r="A17" s="2" t="s">
        <v>66</v>
      </c>
      <c r="B17" s="3" t="str">
        <f>PROPER(_xlfn.XLOOKUP(Table1[[#This Row],[ID]],'Data Mentah'!$A$2:$A$101,'Data Mentah'!$B$2:$B$101,"",0))</f>
        <v>Dewi Lestari</v>
      </c>
      <c r="C17" s="3" t="str">
        <f>_xlfn.XLOOKUP(Table1[[#This Row],[ID]],'Data Mentah'!$A$2:$A$101,'Data Mentah'!$C$2:$C$101,"",0)</f>
        <v>P-05</v>
      </c>
      <c r="D17" s="3" t="str">
        <f>VLOOKUP(Table1[[#This Row],[Kode Produk]],'Tabel Referensi'!$A$2:$B$6,2,FALSE)</f>
        <v>Flashdisk 64GB</v>
      </c>
      <c r="E17" s="10">
        <f>INDEX('Tabel Referensi'!$C$2:$C$6,MATCH(Table1[[#This Row],[Kode Produk]],'Tabel Referensi'!$A$2:$A$6,0))</f>
        <v>95000</v>
      </c>
      <c r="F17" s="3" t="str">
        <f>INDEX('Tabel Referensi'!$D$2:$D$6,MATCH(Table1[[#This Row],[Kode Produk]],'Tabel Referensi'!$A$2:$A$6,0))</f>
        <v>Aksesoris</v>
      </c>
      <c r="G17" s="9">
        <f>_xlfn.XLOOKUP(Table1[[#This Row],[ID]],'Data Mentah'!$A$1:$A$101,'Data Mentah'!$D$1:$D$101,"",0)</f>
        <v>45024</v>
      </c>
      <c r="H17" s="3">
        <f>_xlfn.XLOOKUP(Table1[[#This Row],[ID]],'Data Mentah'!$A$1:$A$101,'Data Mentah'!$E$1:$E$101,"",0)</f>
        <v>4</v>
      </c>
      <c r="I17" s="10">
        <f>Table1[[#This Row],[Harga Satuan]]*Table1[[#This Row],[Quantity]]</f>
        <v>380000</v>
      </c>
      <c r="J17" s="3" t="str">
        <f>INDEX('Data Mentah'!$F$2:$F$101,MATCH(Table1[[#This Row],[ID]],'Data Mentah'!$A$2:$A$101,0))</f>
        <v>Tidak</v>
      </c>
      <c r="K17" s="3" t="str">
        <f>IF(AND(Table1[[#This Row],[Member]]="Ya",Table1[[#This Row],[Total Harga]]&gt;=1000000),"10%","0%")</f>
        <v>0%</v>
      </c>
      <c r="L17" s="11">
        <f>Table1[[#This Row],[Total Harga]]*Table1[[#This Row],[Status Diskon]]</f>
        <v>0</v>
      </c>
      <c r="M17" s="4">
        <f>Table1[[#This Row],[Total Harga]]-Table1[[#This Row],[Nominal Diskon]]</f>
        <v>380000</v>
      </c>
    </row>
    <row r="18" spans="1:13" x14ac:dyDescent="0.6">
      <c r="A18" s="2" t="s">
        <v>91</v>
      </c>
      <c r="B18" s="3" t="str">
        <f>PROPER(_xlfn.XLOOKUP(Table1[[#This Row],[ID]],'Data Mentah'!$A$2:$A$101,'Data Mentah'!$B$2:$B$101,"",0))</f>
        <v>Dewi Lestari</v>
      </c>
      <c r="C18" s="3" t="str">
        <f>_xlfn.XLOOKUP(Table1[[#This Row],[ID]],'Data Mentah'!$A$2:$A$101,'Data Mentah'!$C$2:$C$101,"",0)</f>
        <v>P-01</v>
      </c>
      <c r="D18" s="3" t="str">
        <f>VLOOKUP(Table1[[#This Row],[Kode Produk]],'Tabel Referensi'!$A$2:$B$6,2,FALSE)</f>
        <v>Laptop Pro 14</v>
      </c>
      <c r="E18" s="10">
        <f>INDEX('Tabel Referensi'!$C$2:$C$6,MATCH(Table1[[#This Row],[Kode Produk]],'Tabel Referensi'!$A$2:$A$6,0))</f>
        <v>12500000</v>
      </c>
      <c r="F18" s="3" t="str">
        <f>INDEX('Tabel Referensi'!$D$2:$D$6,MATCH(Table1[[#This Row],[Kode Produk]],'Tabel Referensi'!$A$2:$A$6,0))</f>
        <v>Komputer</v>
      </c>
      <c r="G18" s="9">
        <f>_xlfn.XLOOKUP(Table1[[#This Row],[ID]],'Data Mentah'!$A$1:$A$101,'Data Mentah'!$D$1:$D$101,"",0)</f>
        <v>45028</v>
      </c>
      <c r="H18" s="3">
        <f>_xlfn.XLOOKUP(Table1[[#This Row],[ID]],'Data Mentah'!$A$1:$A$101,'Data Mentah'!$E$1:$E$101,"",0)</f>
        <v>1</v>
      </c>
      <c r="I18" s="10">
        <f>Table1[[#This Row],[Harga Satuan]]*Table1[[#This Row],[Quantity]]</f>
        <v>12500000</v>
      </c>
      <c r="J18" s="3" t="str">
        <f>INDEX('Data Mentah'!$F$2:$F$101,MATCH(Table1[[#This Row],[ID]],'Data Mentah'!$A$2:$A$101,0))</f>
        <v>Tidak</v>
      </c>
      <c r="K18" s="3" t="str">
        <f>IF(AND(Table1[[#This Row],[Member]]="Ya",Table1[[#This Row],[Total Harga]]&gt;=1000000),"10%","0%")</f>
        <v>0%</v>
      </c>
      <c r="L18" s="11">
        <f>Table1[[#This Row],[Total Harga]]*Table1[[#This Row],[Status Diskon]]</f>
        <v>0</v>
      </c>
      <c r="M18" s="4">
        <f>Table1[[#This Row],[Total Harga]]-Table1[[#This Row],[Nominal Diskon]]</f>
        <v>12500000</v>
      </c>
    </row>
    <row r="19" spans="1:13" x14ac:dyDescent="0.6">
      <c r="A19" s="2" t="s">
        <v>116</v>
      </c>
      <c r="B19" s="3" t="str">
        <f>PROPER(_xlfn.XLOOKUP(Table1[[#This Row],[ID]],'Data Mentah'!$A$2:$A$101,'Data Mentah'!$B$2:$B$101,"",0))</f>
        <v>Dewi Lestari</v>
      </c>
      <c r="C19" s="3" t="str">
        <f>_xlfn.XLOOKUP(Table1[[#This Row],[ID]],'Data Mentah'!$A$2:$A$101,'Data Mentah'!$C$2:$C$101,"",0)</f>
        <v>P-02</v>
      </c>
      <c r="D19" s="3" t="str">
        <f>VLOOKUP(Table1[[#This Row],[Kode Produk]],'Tabel Referensi'!$A$2:$B$6,2,FALSE)</f>
        <v>Mouse Wireless</v>
      </c>
      <c r="E19" s="10">
        <f>INDEX('Tabel Referensi'!$C$2:$C$6,MATCH(Table1[[#This Row],[Kode Produk]],'Tabel Referensi'!$A$2:$A$6,0))</f>
        <v>150000</v>
      </c>
      <c r="F19" s="3" t="str">
        <f>INDEX('Tabel Referensi'!$D$2:$D$6,MATCH(Table1[[#This Row],[Kode Produk]],'Tabel Referensi'!$A$2:$A$6,0))</f>
        <v>Aksesoris</v>
      </c>
      <c r="G19" s="9">
        <f>_xlfn.XLOOKUP(Table1[[#This Row],[ID]],'Data Mentah'!$A$1:$A$101,'Data Mentah'!$D$1:$D$101,"",0)</f>
        <v>45031</v>
      </c>
      <c r="H19" s="3">
        <f>_xlfn.XLOOKUP(Table1[[#This Row],[ID]],'Data Mentah'!$A$1:$A$101,'Data Mentah'!$E$1:$E$101,"",0)</f>
        <v>3</v>
      </c>
      <c r="I19" s="10">
        <f>Table1[[#This Row],[Harga Satuan]]*Table1[[#This Row],[Quantity]]</f>
        <v>450000</v>
      </c>
      <c r="J19" s="3" t="str">
        <f>INDEX('Data Mentah'!$F$2:$F$101,MATCH(Table1[[#This Row],[ID]],'Data Mentah'!$A$2:$A$101,0))</f>
        <v>Tidak</v>
      </c>
      <c r="K19" s="3" t="str">
        <f>IF(AND(Table1[[#This Row],[Member]]="Ya",Table1[[#This Row],[Total Harga]]&gt;=1000000),"10%","0%")</f>
        <v>0%</v>
      </c>
      <c r="L19" s="11">
        <f>Table1[[#This Row],[Total Harga]]*Table1[[#This Row],[Status Diskon]]</f>
        <v>0</v>
      </c>
      <c r="M19" s="4">
        <f>Table1[[#This Row],[Total Harga]]-Table1[[#This Row],[Nominal Diskon]]</f>
        <v>450000</v>
      </c>
    </row>
    <row r="20" spans="1:13" x14ac:dyDescent="0.6">
      <c r="A20" s="2" t="s">
        <v>19</v>
      </c>
      <c r="B20" s="3" t="str">
        <f>PROPER(_xlfn.XLOOKUP(Table1[[#This Row],[ID]],'Data Mentah'!$A$2:$A$101,'Data Mentah'!$B$2:$B$101,"",0))</f>
        <v>Eko Prasetyo</v>
      </c>
      <c r="C20" s="3" t="str">
        <f>_xlfn.XLOOKUP(Table1[[#This Row],[ID]],'Data Mentah'!$A$2:$A$101,'Data Mentah'!$C$2:$C$101,"",0)</f>
        <v>P-04</v>
      </c>
      <c r="D20" s="3" t="str">
        <f>VLOOKUP(Table1[[#This Row],[Kode Produk]],'Tabel Referensi'!$A$2:$B$6,2,FALSE)</f>
        <v>Monitor 27 Inch</v>
      </c>
      <c r="E20" s="10">
        <f>INDEX('Tabel Referensi'!$C$2:$C$6,MATCH(Table1[[#This Row],[Kode Produk]],'Tabel Referensi'!$A$2:$A$6,0))</f>
        <v>2100000</v>
      </c>
      <c r="F20" s="3" t="str">
        <f>INDEX('Tabel Referensi'!$D$2:$D$6,MATCH(Table1[[#This Row],[Kode Produk]],'Tabel Referensi'!$A$2:$A$6,0))</f>
        <v>Komputer</v>
      </c>
      <c r="G20" s="9">
        <f>_xlfn.XLOOKUP(Table1[[#This Row],[ID]],'Data Mentah'!$A$1:$A$101,'Data Mentah'!$D$1:$D$101,"",0)</f>
        <v>45058</v>
      </c>
      <c r="H20" s="3">
        <f>_xlfn.XLOOKUP(Table1[[#This Row],[ID]],'Data Mentah'!$A$1:$A$101,'Data Mentah'!$E$1:$E$101,"",0)</f>
        <v>2</v>
      </c>
      <c r="I20" s="10">
        <f>Table1[[#This Row],[Harga Satuan]]*Table1[[#This Row],[Quantity]]</f>
        <v>4200000</v>
      </c>
      <c r="J20" s="3" t="str">
        <f>INDEX('Data Mentah'!$F$2:$F$101,MATCH(Table1[[#This Row],[ID]],'Data Mentah'!$A$2:$A$101,0))</f>
        <v>Ya</v>
      </c>
      <c r="K20" s="3" t="str">
        <f>IF(AND(Table1[[#This Row],[Member]]="Ya",Table1[[#This Row],[Total Harga]]&gt;=1000000),"10%","0%")</f>
        <v>10%</v>
      </c>
      <c r="L20" s="11">
        <f>Table1[[#This Row],[Total Harga]]*Table1[[#This Row],[Status Diskon]]</f>
        <v>420000</v>
      </c>
      <c r="M20" s="4">
        <f>Table1[[#This Row],[Total Harga]]-Table1[[#This Row],[Nominal Diskon]]</f>
        <v>3780000</v>
      </c>
    </row>
    <row r="21" spans="1:13" x14ac:dyDescent="0.6">
      <c r="A21" s="2" t="s">
        <v>67</v>
      </c>
      <c r="B21" s="3" t="str">
        <f>PROPER(_xlfn.XLOOKUP(Table1[[#This Row],[ID]],'Data Mentah'!$A$2:$A$101,'Data Mentah'!$B$2:$B$101,"",0))</f>
        <v>Eko Prasetyo</v>
      </c>
      <c r="C21" s="3" t="str">
        <f>_xlfn.XLOOKUP(Table1[[#This Row],[ID]],'Data Mentah'!$A$2:$A$101,'Data Mentah'!$C$2:$C$101,"",0)</f>
        <v>P-01</v>
      </c>
      <c r="D21" s="3" t="str">
        <f>VLOOKUP(Table1[[#This Row],[Kode Produk]],'Tabel Referensi'!$A$2:$B$6,2,FALSE)</f>
        <v>Laptop Pro 14</v>
      </c>
      <c r="E21" s="10">
        <f>INDEX('Tabel Referensi'!$C$2:$C$6,MATCH(Table1[[#This Row],[Kode Produk]],'Tabel Referensi'!$A$2:$A$6,0))</f>
        <v>12500000</v>
      </c>
      <c r="F21" s="3" t="str">
        <f>INDEX('Tabel Referensi'!$D$2:$D$6,MATCH(Table1[[#This Row],[Kode Produk]],'Tabel Referensi'!$A$2:$A$6,0))</f>
        <v>Komputer</v>
      </c>
      <c r="G21" s="9">
        <f>_xlfn.XLOOKUP(Table1[[#This Row],[ID]],'Data Mentah'!$A$1:$A$101,'Data Mentah'!$D$1:$D$101,"",0)</f>
        <v>45061</v>
      </c>
      <c r="H21" s="3">
        <f>_xlfn.XLOOKUP(Table1[[#This Row],[ID]],'Data Mentah'!$A$1:$A$101,'Data Mentah'!$E$1:$E$101,"",0)</f>
        <v>2</v>
      </c>
      <c r="I21" s="10">
        <f>Table1[[#This Row],[Harga Satuan]]*Table1[[#This Row],[Quantity]]</f>
        <v>25000000</v>
      </c>
      <c r="J21" s="3" t="str">
        <f>INDEX('Data Mentah'!$F$2:$F$101,MATCH(Table1[[#This Row],[ID]],'Data Mentah'!$A$2:$A$101,0))</f>
        <v>Ya</v>
      </c>
      <c r="K21" s="3" t="str">
        <f>IF(AND(Table1[[#This Row],[Member]]="Ya",Table1[[#This Row],[Total Harga]]&gt;=1000000),"10%","0%")</f>
        <v>10%</v>
      </c>
      <c r="L21" s="11">
        <f>Table1[[#This Row],[Total Harga]]*Table1[[#This Row],[Status Diskon]]</f>
        <v>2500000</v>
      </c>
      <c r="M21" s="4">
        <f>Table1[[#This Row],[Total Harga]]-Table1[[#This Row],[Nominal Diskon]]</f>
        <v>22500000</v>
      </c>
    </row>
    <row r="22" spans="1:13" x14ac:dyDescent="0.6">
      <c r="A22" s="2" t="s">
        <v>92</v>
      </c>
      <c r="B22" s="3" t="str">
        <f>PROPER(_xlfn.XLOOKUP(Table1[[#This Row],[ID]],'Data Mentah'!$A$2:$A$101,'Data Mentah'!$B$2:$B$101,"",0))</f>
        <v>Eko Prasetyo</v>
      </c>
      <c r="C22" s="3" t="str">
        <f>_xlfn.XLOOKUP(Table1[[#This Row],[ID]],'Data Mentah'!$A$2:$A$101,'Data Mentah'!$C$2:$C$101,"",0)</f>
        <v>P-02</v>
      </c>
      <c r="D22" s="3" t="str">
        <f>VLOOKUP(Table1[[#This Row],[Kode Produk]],'Tabel Referensi'!$A$2:$B$6,2,FALSE)</f>
        <v>Mouse Wireless</v>
      </c>
      <c r="E22" s="10">
        <f>INDEX('Tabel Referensi'!$C$2:$C$6,MATCH(Table1[[#This Row],[Kode Produk]],'Tabel Referensi'!$A$2:$A$6,0))</f>
        <v>150000</v>
      </c>
      <c r="F22" s="3" t="str">
        <f>INDEX('Tabel Referensi'!$D$2:$D$6,MATCH(Table1[[#This Row],[Kode Produk]],'Tabel Referensi'!$A$2:$A$6,0))</f>
        <v>Aksesoris</v>
      </c>
      <c r="G22" s="9">
        <f>_xlfn.XLOOKUP(Table1[[#This Row],[ID]],'Data Mentah'!$A$1:$A$101,'Data Mentah'!$D$1:$D$101,"",0)</f>
        <v>45064</v>
      </c>
      <c r="H22" s="3">
        <f>_xlfn.XLOOKUP(Table1[[#This Row],[ID]],'Data Mentah'!$A$1:$A$101,'Data Mentah'!$E$1:$E$101,"",0)</f>
        <v>3</v>
      </c>
      <c r="I22" s="10">
        <f>Table1[[#This Row],[Harga Satuan]]*Table1[[#This Row],[Quantity]]</f>
        <v>450000</v>
      </c>
      <c r="J22" s="3" t="str">
        <f>INDEX('Data Mentah'!$F$2:$F$101,MATCH(Table1[[#This Row],[ID]],'Data Mentah'!$A$2:$A$101,0))</f>
        <v>Ya</v>
      </c>
      <c r="K22" s="3" t="str">
        <f>IF(AND(Table1[[#This Row],[Member]]="Ya",Table1[[#This Row],[Total Harga]]&gt;=1000000),"10%","0%")</f>
        <v>0%</v>
      </c>
      <c r="L22" s="11">
        <f>Table1[[#This Row],[Total Harga]]*Table1[[#This Row],[Status Diskon]]</f>
        <v>0</v>
      </c>
      <c r="M22" s="4">
        <f>Table1[[#This Row],[Total Harga]]-Table1[[#This Row],[Nominal Diskon]]</f>
        <v>450000</v>
      </c>
    </row>
    <row r="23" spans="1:13" x14ac:dyDescent="0.6">
      <c r="A23" s="2" t="s">
        <v>117</v>
      </c>
      <c r="B23" s="3" t="str">
        <f>PROPER(_xlfn.XLOOKUP(Table1[[#This Row],[ID]],'Data Mentah'!$A$2:$A$101,'Data Mentah'!$B$2:$B$101,"",0))</f>
        <v>Eko Prasetyo</v>
      </c>
      <c r="C23" s="3" t="str">
        <f>_xlfn.XLOOKUP(Table1[[#This Row],[ID]],'Data Mentah'!$A$2:$A$101,'Data Mentah'!$C$2:$C$101,"",0)</f>
        <v>P-03</v>
      </c>
      <c r="D23" s="3" t="str">
        <f>VLOOKUP(Table1[[#This Row],[Kode Produk]],'Tabel Referensi'!$A$2:$B$6,2,FALSE)</f>
        <v>Keyboard Mechanical</v>
      </c>
      <c r="E23" s="10">
        <f>INDEX('Tabel Referensi'!$C$2:$C$6,MATCH(Table1[[#This Row],[Kode Produk]],'Tabel Referensi'!$A$2:$A$6,0))</f>
        <v>450000</v>
      </c>
      <c r="F23" s="3" t="str">
        <f>INDEX('Tabel Referensi'!$D$2:$D$6,MATCH(Table1[[#This Row],[Kode Produk]],'Tabel Referensi'!$A$2:$A$6,0))</f>
        <v>Aksesoris</v>
      </c>
      <c r="G23" s="9">
        <f>_xlfn.XLOOKUP(Table1[[#This Row],[ID]],'Data Mentah'!$A$1:$A$101,'Data Mentah'!$D$1:$D$101,"",0)</f>
        <v>45068</v>
      </c>
      <c r="H23" s="3">
        <f>_xlfn.XLOOKUP(Table1[[#This Row],[ID]],'Data Mentah'!$A$1:$A$101,'Data Mentah'!$E$1:$E$101,"",0)</f>
        <v>2</v>
      </c>
      <c r="I23" s="10">
        <f>Table1[[#This Row],[Harga Satuan]]*Table1[[#This Row],[Quantity]]</f>
        <v>900000</v>
      </c>
      <c r="J23" s="3" t="str">
        <f>INDEX('Data Mentah'!$F$2:$F$101,MATCH(Table1[[#This Row],[ID]],'Data Mentah'!$A$2:$A$101,0))</f>
        <v>Ya</v>
      </c>
      <c r="K23" s="3" t="str">
        <f>IF(AND(Table1[[#This Row],[Member]]="Ya",Table1[[#This Row],[Total Harga]]&gt;=1000000),"10%","0%")</f>
        <v>0%</v>
      </c>
      <c r="L23" s="11">
        <f>Table1[[#This Row],[Total Harga]]*Table1[[#This Row],[Status Diskon]]</f>
        <v>0</v>
      </c>
      <c r="M23" s="4">
        <f>Table1[[#This Row],[Total Harga]]-Table1[[#This Row],[Nominal Diskon]]</f>
        <v>900000</v>
      </c>
    </row>
    <row r="24" spans="1:13" x14ac:dyDescent="0.6">
      <c r="A24" s="2" t="s">
        <v>22</v>
      </c>
      <c r="B24" s="3" t="str">
        <f>PROPER(_xlfn.XLOOKUP(Table1[[#This Row],[ID]],'Data Mentah'!$A$2:$A$101,'Data Mentah'!$B$2:$B$101,"",0))</f>
        <v>Rina Mr</v>
      </c>
      <c r="C24" s="3" t="str">
        <f>_xlfn.XLOOKUP(Table1[[#This Row],[ID]],'Data Mentah'!$A$2:$A$101,'Data Mentah'!$C$2:$C$101,"",0)</f>
        <v>P-05</v>
      </c>
      <c r="D24" s="3" t="str">
        <f>VLOOKUP(Table1[[#This Row],[Kode Produk]],'Tabel Referensi'!$A$2:$B$6,2,FALSE)</f>
        <v>Flashdisk 64GB</v>
      </c>
      <c r="E24" s="10">
        <f>INDEX('Tabel Referensi'!$C$2:$C$6,MATCH(Table1[[#This Row],[Kode Produk]],'Tabel Referensi'!$A$2:$A$6,0))</f>
        <v>95000</v>
      </c>
      <c r="F24" s="3" t="str">
        <f>INDEX('Tabel Referensi'!$D$2:$D$6,MATCH(Table1[[#This Row],[Kode Produk]],'Tabel Referensi'!$A$2:$A$6,0))</f>
        <v>Aksesoris</v>
      </c>
      <c r="G24" s="9">
        <f>_xlfn.XLOOKUP(Table1[[#This Row],[ID]],'Data Mentah'!$A$1:$A$101,'Data Mentah'!$D$1:$D$101,"",0)</f>
        <v>45097</v>
      </c>
      <c r="H24" s="3">
        <f>_xlfn.XLOOKUP(Table1[[#This Row],[ID]],'Data Mentah'!$A$1:$A$101,'Data Mentah'!$E$1:$E$101,"",0)</f>
        <v>5</v>
      </c>
      <c r="I24" s="10">
        <f>Table1[[#This Row],[Harga Satuan]]*Table1[[#This Row],[Quantity]]</f>
        <v>475000</v>
      </c>
      <c r="J24" s="3" t="str">
        <f>INDEX('Data Mentah'!$F$2:$F$101,MATCH(Table1[[#This Row],[ID]],'Data Mentah'!$A$2:$A$101,0))</f>
        <v>Tidak</v>
      </c>
      <c r="K24" s="3" t="str">
        <f>IF(AND(Table1[[#This Row],[Member]]="Ya",Table1[[#This Row],[Total Harga]]&gt;=1000000),"10%","0%")</f>
        <v>0%</v>
      </c>
      <c r="L24" s="11">
        <f>Table1[[#This Row],[Total Harga]]*Table1[[#This Row],[Status Diskon]]</f>
        <v>0</v>
      </c>
      <c r="M24" s="4">
        <f>Table1[[#This Row],[Total Harga]]-Table1[[#This Row],[Nominal Diskon]]</f>
        <v>475000</v>
      </c>
    </row>
    <row r="25" spans="1:13" x14ac:dyDescent="0.6">
      <c r="A25" s="2" t="s">
        <v>68</v>
      </c>
      <c r="B25" s="3" t="str">
        <f>PROPER(_xlfn.XLOOKUP(Table1[[#This Row],[ID]],'Data Mentah'!$A$2:$A$101,'Data Mentah'!$B$2:$B$101,"",0))</f>
        <v>Rina Mr</v>
      </c>
      <c r="C25" s="3" t="str">
        <f>_xlfn.XLOOKUP(Table1[[#This Row],[ID]],'Data Mentah'!$A$2:$A$101,'Data Mentah'!$C$2:$C$101,"",0)</f>
        <v>P-02</v>
      </c>
      <c r="D25" s="3" t="str">
        <f>VLOOKUP(Table1[[#This Row],[Kode Produk]],'Tabel Referensi'!$A$2:$B$6,2,FALSE)</f>
        <v>Mouse Wireless</v>
      </c>
      <c r="E25" s="10">
        <f>INDEX('Tabel Referensi'!$C$2:$C$6,MATCH(Table1[[#This Row],[Kode Produk]],'Tabel Referensi'!$A$2:$A$6,0))</f>
        <v>150000</v>
      </c>
      <c r="F25" s="3" t="str">
        <f>INDEX('Tabel Referensi'!$D$2:$D$6,MATCH(Table1[[#This Row],[Kode Produk]],'Tabel Referensi'!$A$2:$A$6,0))</f>
        <v>Aksesoris</v>
      </c>
      <c r="G25" s="9">
        <f>_xlfn.XLOOKUP(Table1[[#This Row],[ID]],'Data Mentah'!$A$1:$A$101,'Data Mentah'!$D$1:$D$101,"",0)</f>
        <v>45099</v>
      </c>
      <c r="H25" s="3">
        <f>_xlfn.XLOOKUP(Table1[[#This Row],[ID]],'Data Mentah'!$A$1:$A$101,'Data Mentah'!$E$1:$E$101,"",0)</f>
        <v>3</v>
      </c>
      <c r="I25" s="10">
        <f>Table1[[#This Row],[Harga Satuan]]*Table1[[#This Row],[Quantity]]</f>
        <v>450000</v>
      </c>
      <c r="J25" s="3" t="str">
        <f>INDEX('Data Mentah'!$F$2:$F$101,MATCH(Table1[[#This Row],[ID]],'Data Mentah'!$A$2:$A$101,0))</f>
        <v>Tidak</v>
      </c>
      <c r="K25" s="3" t="str">
        <f>IF(AND(Table1[[#This Row],[Member]]="Ya",Table1[[#This Row],[Total Harga]]&gt;=1000000),"10%","0%")</f>
        <v>0%</v>
      </c>
      <c r="L25" s="11">
        <f>Table1[[#This Row],[Total Harga]]*Table1[[#This Row],[Status Diskon]]</f>
        <v>0</v>
      </c>
      <c r="M25" s="4">
        <f>Table1[[#This Row],[Total Harga]]-Table1[[#This Row],[Nominal Diskon]]</f>
        <v>450000</v>
      </c>
    </row>
    <row r="26" spans="1:13" x14ac:dyDescent="0.6">
      <c r="A26" s="2" t="s">
        <v>93</v>
      </c>
      <c r="B26" s="3" t="str">
        <f>PROPER(_xlfn.XLOOKUP(Table1[[#This Row],[ID]],'Data Mentah'!$A$2:$A$101,'Data Mentah'!$B$2:$B$101,"",0))</f>
        <v>Rina Mr</v>
      </c>
      <c r="C26" s="3" t="str">
        <f>_xlfn.XLOOKUP(Table1[[#This Row],[ID]],'Data Mentah'!$A$2:$A$101,'Data Mentah'!$C$2:$C$101,"",0)</f>
        <v>P-03</v>
      </c>
      <c r="D26" s="3" t="str">
        <f>VLOOKUP(Table1[[#This Row],[Kode Produk]],'Tabel Referensi'!$A$2:$B$6,2,FALSE)</f>
        <v>Keyboard Mechanical</v>
      </c>
      <c r="E26" s="10">
        <f>INDEX('Tabel Referensi'!$C$2:$C$6,MATCH(Table1[[#This Row],[Kode Produk]],'Tabel Referensi'!$A$2:$A$6,0))</f>
        <v>450000</v>
      </c>
      <c r="F26" s="3" t="str">
        <f>INDEX('Tabel Referensi'!$D$2:$D$6,MATCH(Table1[[#This Row],[Kode Produk]],'Tabel Referensi'!$A$2:$A$6,0))</f>
        <v>Aksesoris</v>
      </c>
      <c r="G26" s="9">
        <f>_xlfn.XLOOKUP(Table1[[#This Row],[ID]],'Data Mentah'!$A$1:$A$101,'Data Mentah'!$D$1:$D$101,"",0)</f>
        <v>45102</v>
      </c>
      <c r="H26" s="3">
        <f>_xlfn.XLOOKUP(Table1[[#This Row],[ID]],'Data Mentah'!$A$1:$A$101,'Data Mentah'!$E$1:$E$101,"",0)</f>
        <v>1</v>
      </c>
      <c r="I26" s="10">
        <f>Table1[[#This Row],[Harga Satuan]]*Table1[[#This Row],[Quantity]]</f>
        <v>450000</v>
      </c>
      <c r="J26" s="3" t="str">
        <f>INDEX('Data Mentah'!$F$2:$F$101,MATCH(Table1[[#This Row],[ID]],'Data Mentah'!$A$2:$A$101,0))</f>
        <v>Tidak</v>
      </c>
      <c r="K26" s="3" t="str">
        <f>IF(AND(Table1[[#This Row],[Member]]="Ya",Table1[[#This Row],[Total Harga]]&gt;=1000000),"10%","0%")</f>
        <v>0%</v>
      </c>
      <c r="L26" s="11">
        <f>Table1[[#This Row],[Total Harga]]*Table1[[#This Row],[Status Diskon]]</f>
        <v>0</v>
      </c>
      <c r="M26" s="4">
        <f>Table1[[#This Row],[Total Harga]]-Table1[[#This Row],[Nominal Diskon]]</f>
        <v>450000</v>
      </c>
    </row>
    <row r="27" spans="1:13" x14ac:dyDescent="0.6">
      <c r="A27" s="2" t="s">
        <v>118</v>
      </c>
      <c r="B27" s="3" t="str">
        <f>PROPER(_xlfn.XLOOKUP(Table1[[#This Row],[ID]],'Data Mentah'!$A$2:$A$101,'Data Mentah'!$B$2:$B$101,"",0))</f>
        <v>Rina Mr</v>
      </c>
      <c r="C27" s="3" t="str">
        <f>_xlfn.XLOOKUP(Table1[[#This Row],[ID]],'Data Mentah'!$A$2:$A$101,'Data Mentah'!$C$2:$C$101,"",0)</f>
        <v>P-04</v>
      </c>
      <c r="D27" s="3" t="str">
        <f>VLOOKUP(Table1[[#This Row],[Kode Produk]],'Tabel Referensi'!$A$2:$B$6,2,FALSE)</f>
        <v>Monitor 27 Inch</v>
      </c>
      <c r="E27" s="10">
        <f>INDEX('Tabel Referensi'!$C$2:$C$6,MATCH(Table1[[#This Row],[Kode Produk]],'Tabel Referensi'!$A$2:$A$6,0))</f>
        <v>2100000</v>
      </c>
      <c r="F27" s="3" t="str">
        <f>INDEX('Tabel Referensi'!$D$2:$D$6,MATCH(Table1[[#This Row],[Kode Produk]],'Tabel Referensi'!$A$2:$A$6,0))</f>
        <v>Komputer</v>
      </c>
      <c r="G27" s="9">
        <f>_xlfn.XLOOKUP(Table1[[#This Row],[ID]],'Data Mentah'!$A$1:$A$101,'Data Mentah'!$D$1:$D$101,"",0)</f>
        <v>45105</v>
      </c>
      <c r="H27" s="3">
        <f>_xlfn.XLOOKUP(Table1[[#This Row],[ID]],'Data Mentah'!$A$1:$A$101,'Data Mentah'!$E$1:$E$101,"",0)</f>
        <v>1</v>
      </c>
      <c r="I27" s="10">
        <f>Table1[[#This Row],[Harga Satuan]]*Table1[[#This Row],[Quantity]]</f>
        <v>2100000</v>
      </c>
      <c r="J27" s="3" t="str">
        <f>INDEX('Data Mentah'!$F$2:$F$101,MATCH(Table1[[#This Row],[ID]],'Data Mentah'!$A$2:$A$101,0))</f>
        <v>Tidak</v>
      </c>
      <c r="K27" s="3" t="str">
        <f>IF(AND(Table1[[#This Row],[Member]]="Ya",Table1[[#This Row],[Total Harga]]&gt;=1000000),"10%","0%")</f>
        <v>0%</v>
      </c>
      <c r="L27" s="11">
        <f>Table1[[#This Row],[Total Harga]]*Table1[[#This Row],[Status Diskon]]</f>
        <v>0</v>
      </c>
      <c r="M27" s="4">
        <f>Table1[[#This Row],[Total Harga]]-Table1[[#This Row],[Nominal Diskon]]</f>
        <v>2100000</v>
      </c>
    </row>
    <row r="28" spans="1:13" x14ac:dyDescent="0.6">
      <c r="A28" s="2" t="s">
        <v>25</v>
      </c>
      <c r="B28" s="3" t="str">
        <f>PROPER(_xlfn.XLOOKUP(Table1[[#This Row],[ID]],'Data Mentah'!$A$2:$A$101,'Data Mentah'!$B$2:$B$101,"",0))</f>
        <v>Agus Supriyadi</v>
      </c>
      <c r="C28" s="3" t="str">
        <f>_xlfn.XLOOKUP(Table1[[#This Row],[ID]],'Data Mentah'!$A$2:$A$101,'Data Mentah'!$C$2:$C$101,"",0)</f>
        <v>P-02</v>
      </c>
      <c r="D28" s="3" t="str">
        <f>VLOOKUP(Table1[[#This Row],[Kode Produk]],'Tabel Referensi'!$A$2:$B$6,2,FALSE)</f>
        <v>Mouse Wireless</v>
      </c>
      <c r="E28" s="10">
        <f>INDEX('Tabel Referensi'!$C$2:$C$6,MATCH(Table1[[#This Row],[Kode Produk]],'Tabel Referensi'!$A$2:$A$6,0))</f>
        <v>150000</v>
      </c>
      <c r="F28" s="3" t="str">
        <f>INDEX('Tabel Referensi'!$D$2:$D$6,MATCH(Table1[[#This Row],[Kode Produk]],'Tabel Referensi'!$A$2:$A$6,0))</f>
        <v>Aksesoris</v>
      </c>
      <c r="G28" s="9">
        <f>_xlfn.XLOOKUP(Table1[[#This Row],[ID]],'Data Mentah'!$A$1:$A$101,'Data Mentah'!$D$1:$D$101,"",0)</f>
        <v>45129</v>
      </c>
      <c r="H28" s="3">
        <f>_xlfn.XLOOKUP(Table1[[#This Row],[ID]],'Data Mentah'!$A$1:$A$101,'Data Mentah'!$E$1:$E$101,"",0)</f>
        <v>10</v>
      </c>
      <c r="I28" s="10">
        <f>Table1[[#This Row],[Harga Satuan]]*Table1[[#This Row],[Quantity]]</f>
        <v>1500000</v>
      </c>
      <c r="J28" s="3" t="str">
        <f>INDEX('Data Mentah'!$F$2:$F$101,MATCH(Table1[[#This Row],[ID]],'Data Mentah'!$A$2:$A$101,0))</f>
        <v>Ya</v>
      </c>
      <c r="K28" s="3" t="str">
        <f>IF(AND(Table1[[#This Row],[Member]]="Ya",Table1[[#This Row],[Total Harga]]&gt;=1000000),"10%","0%")</f>
        <v>10%</v>
      </c>
      <c r="L28" s="11">
        <f>Table1[[#This Row],[Total Harga]]*Table1[[#This Row],[Status Diskon]]</f>
        <v>150000</v>
      </c>
      <c r="M28" s="4">
        <f>Table1[[#This Row],[Total Harga]]-Table1[[#This Row],[Nominal Diskon]]</f>
        <v>1350000</v>
      </c>
    </row>
    <row r="29" spans="1:13" x14ac:dyDescent="0.6">
      <c r="A29" s="2" t="s">
        <v>69</v>
      </c>
      <c r="B29" s="3" t="str">
        <f>PROPER(_xlfn.XLOOKUP(Table1[[#This Row],[ID]],'Data Mentah'!$A$2:$A$101,'Data Mentah'!$B$2:$B$101,"",0))</f>
        <v>Agus Supriyadi</v>
      </c>
      <c r="C29" s="3" t="str">
        <f>_xlfn.XLOOKUP(Table1[[#This Row],[ID]],'Data Mentah'!$A$2:$A$101,'Data Mentah'!$C$2:$C$101,"",0)</f>
        <v>P-03</v>
      </c>
      <c r="D29" s="3" t="str">
        <f>VLOOKUP(Table1[[#This Row],[Kode Produk]],'Tabel Referensi'!$A$2:$B$6,2,FALSE)</f>
        <v>Keyboard Mechanical</v>
      </c>
      <c r="E29" s="10">
        <f>INDEX('Tabel Referensi'!$C$2:$C$6,MATCH(Table1[[#This Row],[Kode Produk]],'Tabel Referensi'!$A$2:$A$6,0))</f>
        <v>450000</v>
      </c>
      <c r="F29" s="3" t="str">
        <f>INDEX('Tabel Referensi'!$D$2:$D$6,MATCH(Table1[[#This Row],[Kode Produk]],'Tabel Referensi'!$A$2:$A$6,0))</f>
        <v>Aksesoris</v>
      </c>
      <c r="G29" s="9">
        <f>_xlfn.XLOOKUP(Table1[[#This Row],[ID]],'Data Mentah'!$A$1:$A$101,'Data Mentah'!$D$1:$D$101,"",0)</f>
        <v>45132</v>
      </c>
      <c r="H29" s="3">
        <f>_xlfn.XLOOKUP(Table1[[#This Row],[ID]],'Data Mentah'!$A$1:$A$101,'Data Mentah'!$E$1:$E$101,"",0)</f>
        <v>1</v>
      </c>
      <c r="I29" s="10">
        <f>Table1[[#This Row],[Harga Satuan]]*Table1[[#This Row],[Quantity]]</f>
        <v>450000</v>
      </c>
      <c r="J29" s="3" t="str">
        <f>INDEX('Data Mentah'!$F$2:$F$101,MATCH(Table1[[#This Row],[ID]],'Data Mentah'!$A$2:$A$101,0))</f>
        <v>Ya</v>
      </c>
      <c r="K29" s="3" t="str">
        <f>IF(AND(Table1[[#This Row],[Member]]="Ya",Table1[[#This Row],[Total Harga]]&gt;=1000000),"10%","0%")</f>
        <v>0%</v>
      </c>
      <c r="L29" s="11">
        <f>Table1[[#This Row],[Total Harga]]*Table1[[#This Row],[Status Diskon]]</f>
        <v>0</v>
      </c>
      <c r="M29" s="4">
        <f>Table1[[#This Row],[Total Harga]]-Table1[[#This Row],[Nominal Diskon]]</f>
        <v>450000</v>
      </c>
    </row>
    <row r="30" spans="1:13" x14ac:dyDescent="0.6">
      <c r="A30" s="2" t="s">
        <v>94</v>
      </c>
      <c r="B30" s="3" t="str">
        <f>PROPER(_xlfn.XLOOKUP(Table1[[#This Row],[ID]],'Data Mentah'!$A$2:$A$101,'Data Mentah'!$B$2:$B$101,"",0))</f>
        <v>Agus Supriyadi</v>
      </c>
      <c r="C30" s="3" t="str">
        <f>_xlfn.XLOOKUP(Table1[[#This Row],[ID]],'Data Mentah'!$A$2:$A$101,'Data Mentah'!$C$2:$C$101,"",0)</f>
        <v>P-04</v>
      </c>
      <c r="D30" s="3" t="str">
        <f>VLOOKUP(Table1[[#This Row],[Kode Produk]],'Tabel Referensi'!$A$2:$B$6,2,FALSE)</f>
        <v>Monitor 27 Inch</v>
      </c>
      <c r="E30" s="10">
        <f>INDEX('Tabel Referensi'!$C$2:$C$6,MATCH(Table1[[#This Row],[Kode Produk]],'Tabel Referensi'!$A$2:$A$6,0))</f>
        <v>2100000</v>
      </c>
      <c r="F30" s="3" t="str">
        <f>INDEX('Tabel Referensi'!$D$2:$D$6,MATCH(Table1[[#This Row],[Kode Produk]],'Tabel Referensi'!$A$2:$A$6,0))</f>
        <v>Komputer</v>
      </c>
      <c r="G30" s="9">
        <f>_xlfn.XLOOKUP(Table1[[#This Row],[ID]],'Data Mentah'!$A$1:$A$101,'Data Mentah'!$D$1:$D$101,"",0)</f>
        <v>45135</v>
      </c>
      <c r="H30" s="3">
        <f>_xlfn.XLOOKUP(Table1[[#This Row],[ID]],'Data Mentah'!$A$1:$A$101,'Data Mentah'!$E$1:$E$101,"",0)</f>
        <v>2</v>
      </c>
      <c r="I30" s="10">
        <f>Table1[[#This Row],[Harga Satuan]]*Table1[[#This Row],[Quantity]]</f>
        <v>4200000</v>
      </c>
      <c r="J30" s="3" t="str">
        <f>INDEX('Data Mentah'!$F$2:$F$101,MATCH(Table1[[#This Row],[ID]],'Data Mentah'!$A$2:$A$101,0))</f>
        <v>Ya</v>
      </c>
      <c r="K30" s="3" t="str">
        <f>IF(AND(Table1[[#This Row],[Member]]="Ya",Table1[[#This Row],[Total Harga]]&gt;=1000000),"10%","0%")</f>
        <v>10%</v>
      </c>
      <c r="L30" s="11">
        <f>Table1[[#This Row],[Total Harga]]*Table1[[#This Row],[Status Diskon]]</f>
        <v>420000</v>
      </c>
      <c r="M30" s="4">
        <f>Table1[[#This Row],[Total Harga]]-Table1[[#This Row],[Nominal Diskon]]</f>
        <v>3780000</v>
      </c>
    </row>
    <row r="31" spans="1:13" x14ac:dyDescent="0.6">
      <c r="A31" s="2" t="s">
        <v>119</v>
      </c>
      <c r="B31" s="3" t="str">
        <f>PROPER(_xlfn.XLOOKUP(Table1[[#This Row],[ID]],'Data Mentah'!$A$2:$A$101,'Data Mentah'!$B$2:$B$101,"",0))</f>
        <v>Agus Supriyadi</v>
      </c>
      <c r="C31" s="3" t="str">
        <f>_xlfn.XLOOKUP(Table1[[#This Row],[ID]],'Data Mentah'!$A$2:$A$101,'Data Mentah'!$C$2:$C$101,"",0)</f>
        <v>P-05</v>
      </c>
      <c r="D31" s="3" t="str">
        <f>VLOOKUP(Table1[[#This Row],[Kode Produk]],'Tabel Referensi'!$A$2:$B$6,2,FALSE)</f>
        <v>Flashdisk 64GB</v>
      </c>
      <c r="E31" s="10">
        <f>INDEX('Tabel Referensi'!$C$2:$C$6,MATCH(Table1[[#This Row],[Kode Produk]],'Tabel Referensi'!$A$2:$A$6,0))</f>
        <v>95000</v>
      </c>
      <c r="F31" s="3" t="str">
        <f>INDEX('Tabel Referensi'!$D$2:$D$6,MATCH(Table1[[#This Row],[Kode Produk]],'Tabel Referensi'!$A$2:$A$6,0))</f>
        <v>Aksesoris</v>
      </c>
      <c r="G31" s="9">
        <f>_xlfn.XLOOKUP(Table1[[#This Row],[ID]],'Data Mentah'!$A$1:$A$101,'Data Mentah'!$D$1:$D$101,"",0)</f>
        <v>45137</v>
      </c>
      <c r="H31" s="3">
        <f>_xlfn.XLOOKUP(Table1[[#This Row],[ID]],'Data Mentah'!$A$1:$A$101,'Data Mentah'!$E$1:$E$101,"",0)</f>
        <v>4</v>
      </c>
      <c r="I31" s="10">
        <f>Table1[[#This Row],[Harga Satuan]]*Table1[[#This Row],[Quantity]]</f>
        <v>380000</v>
      </c>
      <c r="J31" s="3" t="str">
        <f>INDEX('Data Mentah'!$F$2:$F$101,MATCH(Table1[[#This Row],[ID]],'Data Mentah'!$A$2:$A$101,0))</f>
        <v>Ya</v>
      </c>
      <c r="K31" s="3" t="str">
        <f>IF(AND(Table1[[#This Row],[Member]]="Ya",Table1[[#This Row],[Total Harga]]&gt;=1000000),"10%","0%")</f>
        <v>0%</v>
      </c>
      <c r="L31" s="11">
        <f>Table1[[#This Row],[Total Harga]]*Table1[[#This Row],[Status Diskon]]</f>
        <v>0</v>
      </c>
      <c r="M31" s="4">
        <f>Table1[[#This Row],[Total Harga]]-Table1[[#This Row],[Nominal Diskon]]</f>
        <v>380000</v>
      </c>
    </row>
    <row r="32" spans="1:13" x14ac:dyDescent="0.6">
      <c r="A32" s="2" t="s">
        <v>27</v>
      </c>
      <c r="B32" s="3" t="str">
        <f>PROPER(_xlfn.XLOOKUP(Table1[[#This Row],[ID]],'Data Mentah'!$A$2:$A$101,'Data Mentah'!$B$2:$B$101,"",0))</f>
        <v>Nina Herlina</v>
      </c>
      <c r="C32" s="3" t="str">
        <f>_xlfn.XLOOKUP(Table1[[#This Row],[ID]],'Data Mentah'!$A$2:$A$101,'Data Mentah'!$C$2:$C$101,"",0)</f>
        <v>P-03</v>
      </c>
      <c r="D32" s="3" t="str">
        <f>VLOOKUP(Table1[[#This Row],[Kode Produk]],'Tabel Referensi'!$A$2:$B$6,2,FALSE)</f>
        <v>Keyboard Mechanical</v>
      </c>
      <c r="E32" s="10">
        <f>INDEX('Tabel Referensi'!$C$2:$C$6,MATCH(Table1[[#This Row],[Kode Produk]],'Tabel Referensi'!$A$2:$A$6,0))</f>
        <v>450000</v>
      </c>
      <c r="F32" s="3" t="str">
        <f>INDEX('Tabel Referensi'!$D$2:$D$6,MATCH(Table1[[#This Row],[Kode Produk]],'Tabel Referensi'!$A$2:$A$6,0))</f>
        <v>Aksesoris</v>
      </c>
      <c r="G32" s="9">
        <f>_xlfn.XLOOKUP(Table1[[#This Row],[ID]],'Data Mentah'!$A$1:$A$101,'Data Mentah'!$D$1:$D$101,"",0)</f>
        <v>45146</v>
      </c>
      <c r="H32" s="3">
        <f>_xlfn.XLOOKUP(Table1[[#This Row],[ID]],'Data Mentah'!$A$1:$A$101,'Data Mentah'!$E$1:$E$101,"",0)</f>
        <v>2</v>
      </c>
      <c r="I32" s="10">
        <f>Table1[[#This Row],[Harga Satuan]]*Table1[[#This Row],[Quantity]]</f>
        <v>900000</v>
      </c>
      <c r="J32" s="3" t="str">
        <f>INDEX('Data Mentah'!$F$2:$F$101,MATCH(Table1[[#This Row],[ID]],'Data Mentah'!$A$2:$A$101,0))</f>
        <v>Tidak</v>
      </c>
      <c r="K32" s="3" t="str">
        <f>IF(AND(Table1[[#This Row],[Member]]="Ya",Table1[[#This Row],[Total Harga]]&gt;=1000000),"10%","0%")</f>
        <v>0%</v>
      </c>
      <c r="L32" s="11">
        <f>Table1[[#This Row],[Total Harga]]*Table1[[#This Row],[Status Diskon]]</f>
        <v>0</v>
      </c>
      <c r="M32" s="4">
        <f>Table1[[#This Row],[Total Harga]]-Table1[[#This Row],[Nominal Diskon]]</f>
        <v>900000</v>
      </c>
    </row>
    <row r="33" spans="1:13" x14ac:dyDescent="0.6">
      <c r="A33" s="2" t="s">
        <v>70</v>
      </c>
      <c r="B33" s="3" t="str">
        <f>PROPER(_xlfn.XLOOKUP(Table1[[#This Row],[ID]],'Data Mentah'!$A$2:$A$101,'Data Mentah'!$B$2:$B$101,"",0))</f>
        <v>Nina Herlina</v>
      </c>
      <c r="C33" s="3" t="str">
        <f>_xlfn.XLOOKUP(Table1[[#This Row],[ID]],'Data Mentah'!$A$2:$A$101,'Data Mentah'!$C$2:$C$101,"",0)</f>
        <v>P-04</v>
      </c>
      <c r="D33" s="3" t="str">
        <f>VLOOKUP(Table1[[#This Row],[Kode Produk]],'Tabel Referensi'!$A$2:$B$6,2,FALSE)</f>
        <v>Monitor 27 Inch</v>
      </c>
      <c r="E33" s="10">
        <f>INDEX('Tabel Referensi'!$C$2:$C$6,MATCH(Table1[[#This Row],[Kode Produk]],'Tabel Referensi'!$A$2:$A$6,0))</f>
        <v>2100000</v>
      </c>
      <c r="F33" s="3" t="str">
        <f>INDEX('Tabel Referensi'!$D$2:$D$6,MATCH(Table1[[#This Row],[Kode Produk]],'Tabel Referensi'!$A$2:$A$6,0))</f>
        <v>Komputer</v>
      </c>
      <c r="G33" s="9">
        <f>_xlfn.XLOOKUP(Table1[[#This Row],[ID]],'Data Mentah'!$A$1:$A$101,'Data Mentah'!$D$1:$D$101,"",0)</f>
        <v>45148</v>
      </c>
      <c r="H33" s="3">
        <f>_xlfn.XLOOKUP(Table1[[#This Row],[ID]],'Data Mentah'!$A$1:$A$101,'Data Mentah'!$E$1:$E$101,"",0)</f>
        <v>2</v>
      </c>
      <c r="I33" s="10">
        <f>Table1[[#This Row],[Harga Satuan]]*Table1[[#This Row],[Quantity]]</f>
        <v>4200000</v>
      </c>
      <c r="J33" s="3" t="str">
        <f>INDEX('Data Mentah'!$F$2:$F$101,MATCH(Table1[[#This Row],[ID]],'Data Mentah'!$A$2:$A$101,0))</f>
        <v>Tidak</v>
      </c>
      <c r="K33" s="3" t="str">
        <f>IF(AND(Table1[[#This Row],[Member]]="Ya",Table1[[#This Row],[Total Harga]]&gt;=1000000),"10%","0%")</f>
        <v>0%</v>
      </c>
      <c r="L33" s="11">
        <f>Table1[[#This Row],[Total Harga]]*Table1[[#This Row],[Status Diskon]]</f>
        <v>0</v>
      </c>
      <c r="M33" s="4">
        <f>Table1[[#This Row],[Total Harga]]-Table1[[#This Row],[Nominal Diskon]]</f>
        <v>4200000</v>
      </c>
    </row>
    <row r="34" spans="1:13" x14ac:dyDescent="0.6">
      <c r="A34" s="2" t="s">
        <v>95</v>
      </c>
      <c r="B34" s="3" t="str">
        <f>PROPER(_xlfn.XLOOKUP(Table1[[#This Row],[ID]],'Data Mentah'!$A$2:$A$101,'Data Mentah'!$B$2:$B$101,"",0))</f>
        <v>Nina Herlina</v>
      </c>
      <c r="C34" s="3" t="str">
        <f>_xlfn.XLOOKUP(Table1[[#This Row],[ID]],'Data Mentah'!$A$2:$A$101,'Data Mentah'!$C$2:$C$101,"",0)</f>
        <v>P-05</v>
      </c>
      <c r="D34" s="3" t="str">
        <f>VLOOKUP(Table1[[#This Row],[Kode Produk]],'Tabel Referensi'!$A$2:$B$6,2,FALSE)</f>
        <v>Flashdisk 64GB</v>
      </c>
      <c r="E34" s="10">
        <f>INDEX('Tabel Referensi'!$C$2:$C$6,MATCH(Table1[[#This Row],[Kode Produk]],'Tabel Referensi'!$A$2:$A$6,0))</f>
        <v>95000</v>
      </c>
      <c r="F34" s="3" t="str">
        <f>INDEX('Tabel Referensi'!$D$2:$D$6,MATCH(Table1[[#This Row],[Kode Produk]],'Tabel Referensi'!$A$2:$A$6,0))</f>
        <v>Aksesoris</v>
      </c>
      <c r="G34" s="9">
        <f>_xlfn.XLOOKUP(Table1[[#This Row],[ID]],'Data Mentah'!$A$1:$A$101,'Data Mentah'!$D$1:$D$101,"",0)</f>
        <v>45152</v>
      </c>
      <c r="H34" s="3">
        <f>_xlfn.XLOOKUP(Table1[[#This Row],[ID]],'Data Mentah'!$A$1:$A$101,'Data Mentah'!$E$1:$E$101,"",0)</f>
        <v>5</v>
      </c>
      <c r="I34" s="10">
        <f>Table1[[#This Row],[Harga Satuan]]*Table1[[#This Row],[Quantity]]</f>
        <v>475000</v>
      </c>
      <c r="J34" s="3" t="str">
        <f>INDEX('Data Mentah'!$F$2:$F$101,MATCH(Table1[[#This Row],[ID]],'Data Mentah'!$A$2:$A$101,0))</f>
        <v>Tidak</v>
      </c>
      <c r="K34" s="3" t="str">
        <f>IF(AND(Table1[[#This Row],[Member]]="Ya",Table1[[#This Row],[Total Harga]]&gt;=1000000),"10%","0%")</f>
        <v>0%</v>
      </c>
      <c r="L34" s="11">
        <f>Table1[[#This Row],[Total Harga]]*Table1[[#This Row],[Status Diskon]]</f>
        <v>0</v>
      </c>
      <c r="M34" s="4">
        <f>Table1[[#This Row],[Total Harga]]-Table1[[#This Row],[Nominal Diskon]]</f>
        <v>475000</v>
      </c>
    </row>
    <row r="35" spans="1:13" x14ac:dyDescent="0.6">
      <c r="A35" s="2" t="s">
        <v>120</v>
      </c>
      <c r="B35" s="3" t="str">
        <f>PROPER(_xlfn.XLOOKUP(Table1[[#This Row],[ID]],'Data Mentah'!$A$2:$A$101,'Data Mentah'!$B$2:$B$101,"",0))</f>
        <v>Nina Herlina</v>
      </c>
      <c r="C35" s="3" t="str">
        <f>_xlfn.XLOOKUP(Table1[[#This Row],[ID]],'Data Mentah'!$A$2:$A$101,'Data Mentah'!$C$2:$C$101,"",0)</f>
        <v>P-01</v>
      </c>
      <c r="D35" s="3" t="str">
        <f>VLOOKUP(Table1[[#This Row],[Kode Produk]],'Tabel Referensi'!$A$2:$B$6,2,FALSE)</f>
        <v>Laptop Pro 14</v>
      </c>
      <c r="E35" s="10">
        <f>INDEX('Tabel Referensi'!$C$2:$C$6,MATCH(Table1[[#This Row],[Kode Produk]],'Tabel Referensi'!$A$2:$A$6,0))</f>
        <v>12500000</v>
      </c>
      <c r="F35" s="3" t="str">
        <f>INDEX('Tabel Referensi'!$D$2:$D$6,MATCH(Table1[[#This Row],[Kode Produk]],'Tabel Referensi'!$A$2:$A$6,0))</f>
        <v>Komputer</v>
      </c>
      <c r="G35" s="9">
        <f>_xlfn.XLOOKUP(Table1[[#This Row],[ID]],'Data Mentah'!$A$1:$A$101,'Data Mentah'!$D$1:$D$101,"",0)</f>
        <v>45156</v>
      </c>
      <c r="H35" s="3">
        <f>_xlfn.XLOOKUP(Table1[[#This Row],[ID]],'Data Mentah'!$A$1:$A$101,'Data Mentah'!$E$1:$E$101,"",0)</f>
        <v>2</v>
      </c>
      <c r="I35" s="10">
        <f>Table1[[#This Row],[Harga Satuan]]*Table1[[#This Row],[Quantity]]</f>
        <v>25000000</v>
      </c>
      <c r="J35" s="3" t="str">
        <f>INDEX('Data Mentah'!$F$2:$F$101,MATCH(Table1[[#This Row],[ID]],'Data Mentah'!$A$2:$A$101,0))</f>
        <v>Tidak</v>
      </c>
      <c r="K35" s="3" t="str">
        <f>IF(AND(Table1[[#This Row],[Member]]="Ya",Table1[[#This Row],[Total Harga]]&gt;=1000000),"10%","0%")</f>
        <v>0%</v>
      </c>
      <c r="L35" s="11">
        <f>Table1[[#This Row],[Total Harga]]*Table1[[#This Row],[Status Diskon]]</f>
        <v>0</v>
      </c>
      <c r="M35" s="4">
        <f>Table1[[#This Row],[Total Harga]]-Table1[[#This Row],[Nominal Diskon]]</f>
        <v>25000000</v>
      </c>
    </row>
    <row r="36" spans="1:13" x14ac:dyDescent="0.6">
      <c r="A36" s="2" t="s">
        <v>29</v>
      </c>
      <c r="B36" s="3" t="str">
        <f>PROPER(_xlfn.XLOOKUP(Table1[[#This Row],[ID]],'Data Mentah'!$A$2:$A$101,'Data Mentah'!$B$2:$B$101,"",0))</f>
        <v>Doni Salmanan</v>
      </c>
      <c r="C36" s="3" t="str">
        <f>_xlfn.XLOOKUP(Table1[[#This Row],[ID]],'Data Mentah'!$A$2:$A$101,'Data Mentah'!$C$2:$C$101,"",0)</f>
        <v>P-04</v>
      </c>
      <c r="D36" s="3" t="str">
        <f>VLOOKUP(Table1[[#This Row],[Kode Produk]],'Tabel Referensi'!$A$2:$B$6,2,FALSE)</f>
        <v>Monitor 27 Inch</v>
      </c>
      <c r="E36" s="10">
        <f>INDEX('Tabel Referensi'!$C$2:$C$6,MATCH(Table1[[#This Row],[Kode Produk]],'Tabel Referensi'!$A$2:$A$6,0))</f>
        <v>2100000</v>
      </c>
      <c r="F36" s="3" t="str">
        <f>INDEX('Tabel Referensi'!$D$2:$D$6,MATCH(Table1[[#This Row],[Kode Produk]],'Tabel Referensi'!$A$2:$A$6,0))</f>
        <v>Komputer</v>
      </c>
      <c r="G36" s="9">
        <f>_xlfn.XLOOKUP(Table1[[#This Row],[ID]],'Data Mentah'!$A$1:$A$101,'Data Mentah'!$D$1:$D$101,"",0)</f>
        <v>45183</v>
      </c>
      <c r="H36" s="3">
        <f>_xlfn.XLOOKUP(Table1[[#This Row],[ID]],'Data Mentah'!$A$1:$A$101,'Data Mentah'!$E$1:$E$101,"",0)</f>
        <v>1</v>
      </c>
      <c r="I36" s="10">
        <f>Table1[[#This Row],[Harga Satuan]]*Table1[[#This Row],[Quantity]]</f>
        <v>2100000</v>
      </c>
      <c r="J36" s="3" t="str">
        <f>INDEX('Data Mentah'!$F$2:$F$101,MATCH(Table1[[#This Row],[ID]],'Data Mentah'!$A$2:$A$101,0))</f>
        <v>Ya</v>
      </c>
      <c r="K36" s="3" t="str">
        <f>IF(AND(Table1[[#This Row],[Member]]="Ya",Table1[[#This Row],[Total Harga]]&gt;=1000000),"10%","0%")</f>
        <v>10%</v>
      </c>
      <c r="L36" s="11">
        <f>Table1[[#This Row],[Total Harga]]*Table1[[#This Row],[Status Diskon]]</f>
        <v>210000</v>
      </c>
      <c r="M36" s="4">
        <f>Table1[[#This Row],[Total Harga]]-Table1[[#This Row],[Nominal Diskon]]</f>
        <v>1890000</v>
      </c>
    </row>
    <row r="37" spans="1:13" x14ac:dyDescent="0.6">
      <c r="A37" s="2" t="s">
        <v>71</v>
      </c>
      <c r="B37" s="3" t="str">
        <f>PROPER(_xlfn.XLOOKUP(Table1[[#This Row],[ID]],'Data Mentah'!$A$2:$A$101,'Data Mentah'!$B$2:$B$101,"",0))</f>
        <v>Doni Salmanan</v>
      </c>
      <c r="C37" s="3" t="str">
        <f>_xlfn.XLOOKUP(Table1[[#This Row],[ID]],'Data Mentah'!$A$2:$A$101,'Data Mentah'!$C$2:$C$101,"",0)</f>
        <v>P-05</v>
      </c>
      <c r="D37" s="3" t="str">
        <f>VLOOKUP(Table1[[#This Row],[Kode Produk]],'Tabel Referensi'!$A$2:$B$6,2,FALSE)</f>
        <v>Flashdisk 64GB</v>
      </c>
      <c r="E37" s="10">
        <f>INDEX('Tabel Referensi'!$C$2:$C$6,MATCH(Table1[[#This Row],[Kode Produk]],'Tabel Referensi'!$A$2:$A$6,0))</f>
        <v>95000</v>
      </c>
      <c r="F37" s="3" t="str">
        <f>INDEX('Tabel Referensi'!$D$2:$D$6,MATCH(Table1[[#This Row],[Kode Produk]],'Tabel Referensi'!$A$2:$A$6,0))</f>
        <v>Aksesoris</v>
      </c>
      <c r="G37" s="9">
        <f>_xlfn.XLOOKUP(Table1[[#This Row],[ID]],'Data Mentah'!$A$1:$A$101,'Data Mentah'!$D$1:$D$101,"",0)</f>
        <v>45185</v>
      </c>
      <c r="H37" s="3">
        <f>_xlfn.XLOOKUP(Table1[[#This Row],[ID]],'Data Mentah'!$A$1:$A$101,'Data Mentah'!$E$1:$E$101,"",0)</f>
        <v>5</v>
      </c>
      <c r="I37" s="10">
        <f>Table1[[#This Row],[Harga Satuan]]*Table1[[#This Row],[Quantity]]</f>
        <v>475000</v>
      </c>
      <c r="J37" s="3" t="str">
        <f>INDEX('Data Mentah'!$F$2:$F$101,MATCH(Table1[[#This Row],[ID]],'Data Mentah'!$A$2:$A$101,0))</f>
        <v>Ya</v>
      </c>
      <c r="K37" s="3" t="str">
        <f>IF(AND(Table1[[#This Row],[Member]]="Ya",Table1[[#This Row],[Total Harga]]&gt;=1000000),"10%","0%")</f>
        <v>0%</v>
      </c>
      <c r="L37" s="11">
        <f>Table1[[#This Row],[Total Harga]]*Table1[[#This Row],[Status Diskon]]</f>
        <v>0</v>
      </c>
      <c r="M37" s="4">
        <f>Table1[[#This Row],[Total Harga]]-Table1[[#This Row],[Nominal Diskon]]</f>
        <v>475000</v>
      </c>
    </row>
    <row r="38" spans="1:13" x14ac:dyDescent="0.6">
      <c r="A38" s="2" t="s">
        <v>96</v>
      </c>
      <c r="B38" s="3" t="str">
        <f>PROPER(_xlfn.XLOOKUP(Table1[[#This Row],[ID]],'Data Mentah'!$A$2:$A$101,'Data Mentah'!$B$2:$B$101,"",0))</f>
        <v>Doni Salmanan</v>
      </c>
      <c r="C38" s="3" t="str">
        <f>_xlfn.XLOOKUP(Table1[[#This Row],[ID]],'Data Mentah'!$A$2:$A$101,'Data Mentah'!$C$2:$C$101,"",0)</f>
        <v>P-01</v>
      </c>
      <c r="D38" s="3" t="str">
        <f>VLOOKUP(Table1[[#This Row],[Kode Produk]],'Tabel Referensi'!$A$2:$B$6,2,FALSE)</f>
        <v>Laptop Pro 14</v>
      </c>
      <c r="E38" s="10">
        <f>INDEX('Tabel Referensi'!$C$2:$C$6,MATCH(Table1[[#This Row],[Kode Produk]],'Tabel Referensi'!$A$2:$A$6,0))</f>
        <v>12500000</v>
      </c>
      <c r="F38" s="3" t="str">
        <f>INDEX('Tabel Referensi'!$D$2:$D$6,MATCH(Table1[[#This Row],[Kode Produk]],'Tabel Referensi'!$A$2:$A$6,0))</f>
        <v>Komputer</v>
      </c>
      <c r="G38" s="9">
        <f>_xlfn.XLOOKUP(Table1[[#This Row],[ID]],'Data Mentah'!$A$1:$A$101,'Data Mentah'!$D$1:$D$101,"",0)</f>
        <v>45189</v>
      </c>
      <c r="H38" s="3">
        <f>_xlfn.XLOOKUP(Table1[[#This Row],[ID]],'Data Mentah'!$A$1:$A$101,'Data Mentah'!$E$1:$E$101,"",0)</f>
        <v>1</v>
      </c>
      <c r="I38" s="10">
        <f>Table1[[#This Row],[Harga Satuan]]*Table1[[#This Row],[Quantity]]</f>
        <v>12500000</v>
      </c>
      <c r="J38" s="3" t="str">
        <f>INDEX('Data Mentah'!$F$2:$F$101,MATCH(Table1[[#This Row],[ID]],'Data Mentah'!$A$2:$A$101,0))</f>
        <v>Ya</v>
      </c>
      <c r="K38" s="3" t="str">
        <f>IF(AND(Table1[[#This Row],[Member]]="Ya",Table1[[#This Row],[Total Harga]]&gt;=1000000),"10%","0%")</f>
        <v>10%</v>
      </c>
      <c r="L38" s="11">
        <f>Table1[[#This Row],[Total Harga]]*Table1[[#This Row],[Status Diskon]]</f>
        <v>1250000</v>
      </c>
      <c r="M38" s="4">
        <f>Table1[[#This Row],[Total Harga]]-Table1[[#This Row],[Nominal Diskon]]</f>
        <v>11250000</v>
      </c>
    </row>
    <row r="39" spans="1:13" x14ac:dyDescent="0.6">
      <c r="A39" s="2" t="s">
        <v>121</v>
      </c>
      <c r="B39" s="3" t="str">
        <f>PROPER(_xlfn.XLOOKUP(Table1[[#This Row],[ID]],'Data Mentah'!$A$2:$A$101,'Data Mentah'!$B$2:$B$101,"",0))</f>
        <v>Doni Salmanan</v>
      </c>
      <c r="C39" s="3" t="str">
        <f>_xlfn.XLOOKUP(Table1[[#This Row],[ID]],'Data Mentah'!$A$2:$A$101,'Data Mentah'!$C$2:$C$101,"",0)</f>
        <v>P-02</v>
      </c>
      <c r="D39" s="3" t="str">
        <f>VLOOKUP(Table1[[#This Row],[Kode Produk]],'Tabel Referensi'!$A$2:$B$6,2,FALSE)</f>
        <v>Mouse Wireless</v>
      </c>
      <c r="E39" s="10">
        <f>INDEX('Tabel Referensi'!$C$2:$C$6,MATCH(Table1[[#This Row],[Kode Produk]],'Tabel Referensi'!$A$2:$A$6,0))</f>
        <v>150000</v>
      </c>
      <c r="F39" s="3" t="str">
        <f>INDEX('Tabel Referensi'!$D$2:$D$6,MATCH(Table1[[#This Row],[Kode Produk]],'Tabel Referensi'!$A$2:$A$6,0))</f>
        <v>Aksesoris</v>
      </c>
      <c r="G39" s="9">
        <f>_xlfn.XLOOKUP(Table1[[#This Row],[ID]],'Data Mentah'!$A$1:$A$101,'Data Mentah'!$D$1:$D$101,"",0)</f>
        <v>45194</v>
      </c>
      <c r="H39" s="3">
        <f>_xlfn.XLOOKUP(Table1[[#This Row],[ID]],'Data Mentah'!$A$1:$A$101,'Data Mentah'!$E$1:$E$101,"",0)</f>
        <v>5</v>
      </c>
      <c r="I39" s="10">
        <f>Table1[[#This Row],[Harga Satuan]]*Table1[[#This Row],[Quantity]]</f>
        <v>750000</v>
      </c>
      <c r="J39" s="3" t="str">
        <f>INDEX('Data Mentah'!$F$2:$F$101,MATCH(Table1[[#This Row],[ID]],'Data Mentah'!$A$2:$A$101,0))</f>
        <v>Ya</v>
      </c>
      <c r="K39" s="3" t="str">
        <f>IF(AND(Table1[[#This Row],[Member]]="Ya",Table1[[#This Row],[Total Harga]]&gt;=1000000),"10%","0%")</f>
        <v>0%</v>
      </c>
      <c r="L39" s="11">
        <f>Table1[[#This Row],[Total Harga]]*Table1[[#This Row],[Status Diskon]]</f>
        <v>0</v>
      </c>
      <c r="M39" s="4">
        <f>Table1[[#This Row],[Total Harga]]-Table1[[#This Row],[Nominal Diskon]]</f>
        <v>750000</v>
      </c>
    </row>
    <row r="40" spans="1:13" x14ac:dyDescent="0.6">
      <c r="A40" s="2" t="s">
        <v>31</v>
      </c>
      <c r="B40" s="3" t="str">
        <f>PROPER(_xlfn.XLOOKUP(Table1[[#This Row],[ID]],'Data Mentah'!$A$2:$A$101,'Data Mentah'!$B$2:$B$101,"",0))</f>
        <v>Fajar Nugraha</v>
      </c>
      <c r="C40" s="3" t="str">
        <f>_xlfn.XLOOKUP(Table1[[#This Row],[ID]],'Data Mentah'!$A$2:$A$101,'Data Mentah'!$C$2:$C$101,"",0)</f>
        <v>P-05</v>
      </c>
      <c r="D40" s="3" t="str">
        <f>VLOOKUP(Table1[[#This Row],[Kode Produk]],'Tabel Referensi'!$A$2:$B$6,2,FALSE)</f>
        <v>Flashdisk 64GB</v>
      </c>
      <c r="E40" s="10">
        <f>INDEX('Tabel Referensi'!$C$2:$C$6,MATCH(Table1[[#This Row],[Kode Produk]],'Tabel Referensi'!$A$2:$A$6,0))</f>
        <v>95000</v>
      </c>
      <c r="F40" s="3" t="str">
        <f>INDEX('Tabel Referensi'!$D$2:$D$6,MATCH(Table1[[#This Row],[Kode Produk]],'Tabel Referensi'!$A$2:$A$6,0))</f>
        <v>Aksesoris</v>
      </c>
      <c r="G40" s="9">
        <f>_xlfn.XLOOKUP(Table1[[#This Row],[ID]],'Data Mentah'!$A$1:$A$101,'Data Mentah'!$D$1:$D$101,"",0)</f>
        <v>45200</v>
      </c>
      <c r="H40" s="3">
        <f>_xlfn.XLOOKUP(Table1[[#This Row],[ID]],'Data Mentah'!$A$1:$A$101,'Data Mentah'!$E$1:$E$101,"",0)</f>
        <v>3</v>
      </c>
      <c r="I40" s="10">
        <f>Table1[[#This Row],[Harga Satuan]]*Table1[[#This Row],[Quantity]]</f>
        <v>285000</v>
      </c>
      <c r="J40" s="3" t="str">
        <f>INDEX('Data Mentah'!$F$2:$F$101,MATCH(Table1[[#This Row],[ID]],'Data Mentah'!$A$2:$A$101,0))</f>
        <v>Tidak</v>
      </c>
      <c r="K40" s="3" t="str">
        <f>IF(AND(Table1[[#This Row],[Member]]="Ya",Table1[[#This Row],[Total Harga]]&gt;=1000000),"10%","0%")</f>
        <v>0%</v>
      </c>
      <c r="L40" s="11">
        <f>Table1[[#This Row],[Total Harga]]*Table1[[#This Row],[Status Diskon]]</f>
        <v>0</v>
      </c>
      <c r="M40" s="4">
        <f>Table1[[#This Row],[Total Harga]]-Table1[[#This Row],[Nominal Diskon]]</f>
        <v>285000</v>
      </c>
    </row>
    <row r="41" spans="1:13" x14ac:dyDescent="0.6">
      <c r="A41" s="2" t="s">
        <v>72</v>
      </c>
      <c r="B41" s="3" t="str">
        <f>PROPER(_xlfn.XLOOKUP(Table1[[#This Row],[ID]],'Data Mentah'!$A$2:$A$101,'Data Mentah'!$B$2:$B$101,"",0))</f>
        <v>Fajar Nugraha</v>
      </c>
      <c r="C41" s="3" t="str">
        <f>_xlfn.XLOOKUP(Table1[[#This Row],[ID]],'Data Mentah'!$A$2:$A$101,'Data Mentah'!$C$2:$C$101,"",0)</f>
        <v>P-01</v>
      </c>
      <c r="D41" s="3" t="str">
        <f>VLOOKUP(Table1[[#This Row],[Kode Produk]],'Tabel Referensi'!$A$2:$B$6,2,FALSE)</f>
        <v>Laptop Pro 14</v>
      </c>
      <c r="E41" s="10">
        <f>INDEX('Tabel Referensi'!$C$2:$C$6,MATCH(Table1[[#This Row],[Kode Produk]],'Tabel Referensi'!$A$2:$A$6,0))</f>
        <v>12500000</v>
      </c>
      <c r="F41" s="3" t="str">
        <f>INDEX('Tabel Referensi'!$D$2:$D$6,MATCH(Table1[[#This Row],[Kode Produk]],'Tabel Referensi'!$A$2:$A$6,0))</f>
        <v>Komputer</v>
      </c>
      <c r="G41" s="9">
        <f>_xlfn.XLOOKUP(Table1[[#This Row],[ID]],'Data Mentah'!$A$1:$A$101,'Data Mentah'!$D$1:$D$101,"",0)</f>
        <v>45204</v>
      </c>
      <c r="H41" s="3">
        <f>_xlfn.XLOOKUP(Table1[[#This Row],[ID]],'Data Mentah'!$A$1:$A$101,'Data Mentah'!$E$1:$E$101,"",0)</f>
        <v>1</v>
      </c>
      <c r="I41" s="10">
        <f>Table1[[#This Row],[Harga Satuan]]*Table1[[#This Row],[Quantity]]</f>
        <v>12500000</v>
      </c>
      <c r="J41" s="3" t="str">
        <f>INDEX('Data Mentah'!$F$2:$F$101,MATCH(Table1[[#This Row],[ID]],'Data Mentah'!$A$2:$A$101,0))</f>
        <v>Tidak</v>
      </c>
      <c r="K41" s="3" t="str">
        <f>IF(AND(Table1[[#This Row],[Member]]="Ya",Table1[[#This Row],[Total Harga]]&gt;=1000000),"10%","0%")</f>
        <v>0%</v>
      </c>
      <c r="L41" s="11">
        <f>Table1[[#This Row],[Total Harga]]*Table1[[#This Row],[Status Diskon]]</f>
        <v>0</v>
      </c>
      <c r="M41" s="4">
        <f>Table1[[#This Row],[Total Harga]]-Table1[[#This Row],[Nominal Diskon]]</f>
        <v>12500000</v>
      </c>
    </row>
    <row r="42" spans="1:13" x14ac:dyDescent="0.6">
      <c r="A42" s="2" t="s">
        <v>97</v>
      </c>
      <c r="B42" s="3" t="str">
        <f>PROPER(_xlfn.XLOOKUP(Table1[[#This Row],[ID]],'Data Mentah'!$A$2:$A$101,'Data Mentah'!$B$2:$B$101,"",0))</f>
        <v>Fajar Nugraha</v>
      </c>
      <c r="C42" s="3" t="str">
        <f>_xlfn.XLOOKUP(Table1[[#This Row],[ID]],'Data Mentah'!$A$2:$A$101,'Data Mentah'!$C$2:$C$101,"",0)</f>
        <v>P-02</v>
      </c>
      <c r="D42" s="3" t="str">
        <f>VLOOKUP(Table1[[#This Row],[Kode Produk]],'Tabel Referensi'!$A$2:$B$6,2,FALSE)</f>
        <v>Mouse Wireless</v>
      </c>
      <c r="E42" s="10">
        <f>INDEX('Tabel Referensi'!$C$2:$C$6,MATCH(Table1[[#This Row],[Kode Produk]],'Tabel Referensi'!$A$2:$A$6,0))</f>
        <v>150000</v>
      </c>
      <c r="F42" s="3" t="str">
        <f>INDEX('Tabel Referensi'!$D$2:$D$6,MATCH(Table1[[#This Row],[Kode Produk]],'Tabel Referensi'!$A$2:$A$6,0))</f>
        <v>Aksesoris</v>
      </c>
      <c r="G42" s="9">
        <f>_xlfn.XLOOKUP(Table1[[#This Row],[ID]],'Data Mentah'!$A$1:$A$101,'Data Mentah'!$D$1:$D$101,"",0)</f>
        <v>45209</v>
      </c>
      <c r="H42" s="3">
        <f>_xlfn.XLOOKUP(Table1[[#This Row],[ID]],'Data Mentah'!$A$1:$A$101,'Data Mentah'!$E$1:$E$101,"",0)</f>
        <v>4</v>
      </c>
      <c r="I42" s="10">
        <f>Table1[[#This Row],[Harga Satuan]]*Table1[[#This Row],[Quantity]]</f>
        <v>600000</v>
      </c>
      <c r="J42" s="3" t="str">
        <f>INDEX('Data Mentah'!$F$2:$F$101,MATCH(Table1[[#This Row],[ID]],'Data Mentah'!$A$2:$A$101,0))</f>
        <v>Tidak</v>
      </c>
      <c r="K42" s="3" t="str">
        <f>IF(AND(Table1[[#This Row],[Member]]="Ya",Table1[[#This Row],[Total Harga]]&gt;=1000000),"10%","0%")</f>
        <v>0%</v>
      </c>
      <c r="L42" s="11">
        <f>Table1[[#This Row],[Total Harga]]*Table1[[#This Row],[Status Diskon]]</f>
        <v>0</v>
      </c>
      <c r="M42" s="4">
        <f>Table1[[#This Row],[Total Harga]]-Table1[[#This Row],[Nominal Diskon]]</f>
        <v>600000</v>
      </c>
    </row>
    <row r="43" spans="1:13" x14ac:dyDescent="0.6">
      <c r="A43" s="2" t="s">
        <v>122</v>
      </c>
      <c r="B43" s="3" t="str">
        <f>PROPER(_xlfn.XLOOKUP(Table1[[#This Row],[ID]],'Data Mentah'!$A$2:$A$101,'Data Mentah'!$B$2:$B$101,"",0))</f>
        <v>Fajar Nugraha</v>
      </c>
      <c r="C43" s="3" t="str">
        <f>_xlfn.XLOOKUP(Table1[[#This Row],[ID]],'Data Mentah'!$A$2:$A$101,'Data Mentah'!$C$2:$C$101,"",0)</f>
        <v>P-03</v>
      </c>
      <c r="D43" s="3" t="str">
        <f>VLOOKUP(Table1[[#This Row],[Kode Produk]],'Tabel Referensi'!$A$2:$B$6,2,FALSE)</f>
        <v>Keyboard Mechanical</v>
      </c>
      <c r="E43" s="10">
        <f>INDEX('Tabel Referensi'!$C$2:$C$6,MATCH(Table1[[#This Row],[Kode Produk]],'Tabel Referensi'!$A$2:$A$6,0))</f>
        <v>450000</v>
      </c>
      <c r="F43" s="3" t="str">
        <f>INDEX('Tabel Referensi'!$D$2:$D$6,MATCH(Table1[[#This Row],[Kode Produk]],'Tabel Referensi'!$A$2:$A$6,0))</f>
        <v>Aksesoris</v>
      </c>
      <c r="G43" s="9">
        <f>_xlfn.XLOOKUP(Table1[[#This Row],[ID]],'Data Mentah'!$A$1:$A$101,'Data Mentah'!$D$1:$D$101,"",0)</f>
        <v>45214</v>
      </c>
      <c r="H43" s="3">
        <f>_xlfn.XLOOKUP(Table1[[#This Row],[ID]],'Data Mentah'!$A$1:$A$101,'Data Mentah'!$E$1:$E$101,"",0)</f>
        <v>1</v>
      </c>
      <c r="I43" s="10">
        <f>Table1[[#This Row],[Harga Satuan]]*Table1[[#This Row],[Quantity]]</f>
        <v>450000</v>
      </c>
      <c r="J43" s="3" t="str">
        <f>INDEX('Data Mentah'!$F$2:$F$101,MATCH(Table1[[#This Row],[ID]],'Data Mentah'!$A$2:$A$101,0))</f>
        <v>Tidak</v>
      </c>
      <c r="K43" s="3" t="str">
        <f>IF(AND(Table1[[#This Row],[Member]]="Ya",Table1[[#This Row],[Total Harga]]&gt;=1000000),"10%","0%")</f>
        <v>0%</v>
      </c>
      <c r="L43" s="11">
        <f>Table1[[#This Row],[Total Harga]]*Table1[[#This Row],[Status Diskon]]</f>
        <v>0</v>
      </c>
      <c r="M43" s="4">
        <f>Table1[[#This Row],[Total Harga]]-Table1[[#This Row],[Nominal Diskon]]</f>
        <v>450000</v>
      </c>
    </row>
    <row r="44" spans="1:13" x14ac:dyDescent="0.6">
      <c r="A44" s="2" t="s">
        <v>33</v>
      </c>
      <c r="B44" s="3" t="str">
        <f>PROPER(_xlfn.XLOOKUP(Table1[[#This Row],[ID]],'Data Mentah'!$A$2:$A$101,'Data Mentah'!$B$2:$B$101,"",0))</f>
        <v>Gina Sonia</v>
      </c>
      <c r="C44" s="3" t="str">
        <f>_xlfn.XLOOKUP(Table1[[#This Row],[ID]],'Data Mentah'!$A$2:$A$101,'Data Mentah'!$C$2:$C$101,"",0)</f>
        <v>P-01</v>
      </c>
      <c r="D44" s="3" t="str">
        <f>VLOOKUP(Table1[[#This Row],[Kode Produk]],'Tabel Referensi'!$A$2:$B$6,2,FALSE)</f>
        <v>Laptop Pro 14</v>
      </c>
      <c r="E44" s="10">
        <f>INDEX('Tabel Referensi'!$C$2:$C$6,MATCH(Table1[[#This Row],[Kode Produk]],'Tabel Referensi'!$A$2:$A$6,0))</f>
        <v>12500000</v>
      </c>
      <c r="F44" s="3" t="str">
        <f>INDEX('Tabel Referensi'!$D$2:$D$6,MATCH(Table1[[#This Row],[Kode Produk]],'Tabel Referensi'!$A$2:$A$6,0))</f>
        <v>Komputer</v>
      </c>
      <c r="G44" s="9">
        <f>_xlfn.XLOOKUP(Table1[[#This Row],[ID]],'Data Mentah'!$A$1:$A$101,'Data Mentah'!$D$1:$D$101,"",0)</f>
        <v>45241</v>
      </c>
      <c r="H44" s="3">
        <f>_xlfn.XLOOKUP(Table1[[#This Row],[ID]],'Data Mentah'!$A$1:$A$101,'Data Mentah'!$E$1:$E$101,"",0)</f>
        <v>1</v>
      </c>
      <c r="I44" s="10">
        <f>Table1[[#This Row],[Harga Satuan]]*Table1[[#This Row],[Quantity]]</f>
        <v>12500000</v>
      </c>
      <c r="J44" s="3" t="str">
        <f>INDEX('Data Mentah'!$F$2:$F$101,MATCH(Table1[[#This Row],[ID]],'Data Mentah'!$A$2:$A$101,0))</f>
        <v>Ya</v>
      </c>
      <c r="K44" s="3" t="str">
        <f>IF(AND(Table1[[#This Row],[Member]]="Ya",Table1[[#This Row],[Total Harga]]&gt;=1000000),"10%","0%")</f>
        <v>10%</v>
      </c>
      <c r="L44" s="11">
        <f>Table1[[#This Row],[Total Harga]]*Table1[[#This Row],[Status Diskon]]</f>
        <v>1250000</v>
      </c>
      <c r="M44" s="4">
        <f>Table1[[#This Row],[Total Harga]]-Table1[[#This Row],[Nominal Diskon]]</f>
        <v>11250000</v>
      </c>
    </row>
    <row r="45" spans="1:13" x14ac:dyDescent="0.6">
      <c r="A45" s="2" t="s">
        <v>73</v>
      </c>
      <c r="B45" s="3" t="str">
        <f>PROPER(_xlfn.XLOOKUP(Table1[[#This Row],[ID]],'Data Mentah'!$A$2:$A$101,'Data Mentah'!$B$2:$B$101,"",0))</f>
        <v>Gina Sonia</v>
      </c>
      <c r="C45" s="3" t="str">
        <f>_xlfn.XLOOKUP(Table1[[#This Row],[ID]],'Data Mentah'!$A$2:$A$101,'Data Mentah'!$C$2:$C$101,"",0)</f>
        <v>P-02</v>
      </c>
      <c r="D45" s="3" t="str">
        <f>VLOOKUP(Table1[[#This Row],[Kode Produk]],'Tabel Referensi'!$A$2:$B$6,2,FALSE)</f>
        <v>Mouse Wireless</v>
      </c>
      <c r="E45" s="10">
        <f>INDEX('Tabel Referensi'!$C$2:$C$6,MATCH(Table1[[#This Row],[Kode Produk]],'Tabel Referensi'!$A$2:$A$6,0))</f>
        <v>150000</v>
      </c>
      <c r="F45" s="3" t="str">
        <f>INDEX('Tabel Referensi'!$D$2:$D$6,MATCH(Table1[[#This Row],[Kode Produk]],'Tabel Referensi'!$A$2:$A$6,0))</f>
        <v>Aksesoris</v>
      </c>
      <c r="G45" s="9">
        <f>_xlfn.XLOOKUP(Table1[[#This Row],[ID]],'Data Mentah'!$A$1:$A$101,'Data Mentah'!$D$1:$D$101,"",0)</f>
        <v>45245</v>
      </c>
      <c r="H45" s="3">
        <f>_xlfn.XLOOKUP(Table1[[#This Row],[ID]],'Data Mentah'!$A$1:$A$101,'Data Mentah'!$E$1:$E$101,"",0)</f>
        <v>2</v>
      </c>
      <c r="I45" s="10">
        <f>Table1[[#This Row],[Harga Satuan]]*Table1[[#This Row],[Quantity]]</f>
        <v>300000</v>
      </c>
      <c r="J45" s="3" t="str">
        <f>INDEX('Data Mentah'!$F$2:$F$101,MATCH(Table1[[#This Row],[ID]],'Data Mentah'!$A$2:$A$101,0))</f>
        <v>Ya</v>
      </c>
      <c r="K45" s="3" t="str">
        <f>IF(AND(Table1[[#This Row],[Member]]="Ya",Table1[[#This Row],[Total Harga]]&gt;=1000000),"10%","0%")</f>
        <v>0%</v>
      </c>
      <c r="L45" s="11">
        <f>Table1[[#This Row],[Total Harga]]*Table1[[#This Row],[Status Diskon]]</f>
        <v>0</v>
      </c>
      <c r="M45" s="4">
        <f>Table1[[#This Row],[Total Harga]]-Table1[[#This Row],[Nominal Diskon]]</f>
        <v>300000</v>
      </c>
    </row>
    <row r="46" spans="1:13" x14ac:dyDescent="0.6">
      <c r="A46" s="2" t="s">
        <v>98</v>
      </c>
      <c r="B46" s="3" t="str">
        <f>PROPER(_xlfn.XLOOKUP(Table1[[#This Row],[ID]],'Data Mentah'!$A$2:$A$101,'Data Mentah'!$B$2:$B$101,"",0))</f>
        <v>Gina Sonia</v>
      </c>
      <c r="C46" s="3" t="str">
        <f>_xlfn.XLOOKUP(Table1[[#This Row],[ID]],'Data Mentah'!$A$2:$A$101,'Data Mentah'!$C$2:$C$101,"",0)</f>
        <v>P-03</v>
      </c>
      <c r="D46" s="3" t="str">
        <f>VLOOKUP(Table1[[#This Row],[Kode Produk]],'Tabel Referensi'!$A$2:$B$6,2,FALSE)</f>
        <v>Keyboard Mechanical</v>
      </c>
      <c r="E46" s="10">
        <f>INDEX('Tabel Referensi'!$C$2:$C$6,MATCH(Table1[[#This Row],[Kode Produk]],'Tabel Referensi'!$A$2:$A$6,0))</f>
        <v>450000</v>
      </c>
      <c r="F46" s="3" t="str">
        <f>INDEX('Tabel Referensi'!$D$2:$D$6,MATCH(Table1[[#This Row],[Kode Produk]],'Tabel Referensi'!$A$2:$A$6,0))</f>
        <v>Aksesoris</v>
      </c>
      <c r="G46" s="9">
        <f>_xlfn.XLOOKUP(Table1[[#This Row],[ID]],'Data Mentah'!$A$1:$A$101,'Data Mentah'!$D$1:$D$101,"",0)</f>
        <v>45248</v>
      </c>
      <c r="H46" s="3">
        <f>_xlfn.XLOOKUP(Table1[[#This Row],[ID]],'Data Mentah'!$A$1:$A$101,'Data Mentah'!$E$1:$E$101,"",0)</f>
        <v>2</v>
      </c>
      <c r="I46" s="10">
        <f>Table1[[#This Row],[Harga Satuan]]*Table1[[#This Row],[Quantity]]</f>
        <v>900000</v>
      </c>
      <c r="J46" s="3" t="str">
        <f>INDEX('Data Mentah'!$F$2:$F$101,MATCH(Table1[[#This Row],[ID]],'Data Mentah'!$A$2:$A$101,0))</f>
        <v>Ya</v>
      </c>
      <c r="K46" s="3" t="str">
        <f>IF(AND(Table1[[#This Row],[Member]]="Ya",Table1[[#This Row],[Total Harga]]&gt;=1000000),"10%","0%")</f>
        <v>0%</v>
      </c>
      <c r="L46" s="11">
        <f>Table1[[#This Row],[Total Harga]]*Table1[[#This Row],[Status Diskon]]</f>
        <v>0</v>
      </c>
      <c r="M46" s="4">
        <f>Table1[[#This Row],[Total Harga]]-Table1[[#This Row],[Nominal Diskon]]</f>
        <v>900000</v>
      </c>
    </row>
    <row r="47" spans="1:13" x14ac:dyDescent="0.6">
      <c r="A47" s="2" t="s">
        <v>123</v>
      </c>
      <c r="B47" s="3" t="str">
        <f>PROPER(_xlfn.XLOOKUP(Table1[[#This Row],[ID]],'Data Mentah'!$A$2:$A$101,'Data Mentah'!$B$2:$B$101,"",0))</f>
        <v>Gina Sonia</v>
      </c>
      <c r="C47" s="3" t="str">
        <f>_xlfn.XLOOKUP(Table1[[#This Row],[ID]],'Data Mentah'!$A$2:$A$101,'Data Mentah'!$C$2:$C$101,"",0)</f>
        <v>P-04</v>
      </c>
      <c r="D47" s="3" t="str">
        <f>VLOOKUP(Table1[[#This Row],[Kode Produk]],'Tabel Referensi'!$A$2:$B$6,2,FALSE)</f>
        <v>Monitor 27 Inch</v>
      </c>
      <c r="E47" s="10">
        <f>INDEX('Tabel Referensi'!$C$2:$C$6,MATCH(Table1[[#This Row],[Kode Produk]],'Tabel Referensi'!$A$2:$A$6,0))</f>
        <v>2100000</v>
      </c>
      <c r="F47" s="3" t="str">
        <f>INDEX('Tabel Referensi'!$D$2:$D$6,MATCH(Table1[[#This Row],[Kode Produk]],'Tabel Referensi'!$A$2:$A$6,0))</f>
        <v>Komputer</v>
      </c>
      <c r="G47" s="9">
        <f>_xlfn.XLOOKUP(Table1[[#This Row],[ID]],'Data Mentah'!$A$1:$A$101,'Data Mentah'!$D$1:$D$101,"",0)</f>
        <v>45252</v>
      </c>
      <c r="H47" s="3">
        <f>_xlfn.XLOOKUP(Table1[[#This Row],[ID]],'Data Mentah'!$A$1:$A$101,'Data Mentah'!$E$1:$E$101,"",0)</f>
        <v>2</v>
      </c>
      <c r="I47" s="10">
        <f>Table1[[#This Row],[Harga Satuan]]*Table1[[#This Row],[Quantity]]</f>
        <v>4200000</v>
      </c>
      <c r="J47" s="3" t="str">
        <f>INDEX('Data Mentah'!$F$2:$F$101,MATCH(Table1[[#This Row],[ID]],'Data Mentah'!$A$2:$A$101,0))</f>
        <v>Ya</v>
      </c>
      <c r="K47" s="3" t="str">
        <f>IF(AND(Table1[[#This Row],[Member]]="Ya",Table1[[#This Row],[Total Harga]]&gt;=1000000),"10%","0%")</f>
        <v>10%</v>
      </c>
      <c r="L47" s="11">
        <f>Table1[[#This Row],[Total Harga]]*Table1[[#This Row],[Status Diskon]]</f>
        <v>420000</v>
      </c>
      <c r="M47" s="4">
        <f>Table1[[#This Row],[Total Harga]]-Table1[[#This Row],[Nominal Diskon]]</f>
        <v>3780000</v>
      </c>
    </row>
    <row r="48" spans="1:13" x14ac:dyDescent="0.6">
      <c r="A48" s="2" t="s">
        <v>35</v>
      </c>
      <c r="B48" s="3" t="str">
        <f>PROPER(_xlfn.XLOOKUP(Table1[[#This Row],[ID]],'Data Mentah'!$A$2:$A$101,'Data Mentah'!$B$2:$B$101,"",0))</f>
        <v>Hendra Gunawan</v>
      </c>
      <c r="C48" s="3" t="str">
        <f>_xlfn.XLOOKUP(Table1[[#This Row],[ID]],'Data Mentah'!$A$2:$A$101,'Data Mentah'!$C$2:$C$101,"",0)</f>
        <v>P-02</v>
      </c>
      <c r="D48" s="3" t="str">
        <f>VLOOKUP(Table1[[#This Row],[Kode Produk]],'Tabel Referensi'!$A$2:$B$6,2,FALSE)</f>
        <v>Mouse Wireless</v>
      </c>
      <c r="E48" s="10">
        <f>INDEX('Tabel Referensi'!$C$2:$C$6,MATCH(Table1[[#This Row],[Kode Produk]],'Tabel Referensi'!$A$2:$A$6,0))</f>
        <v>150000</v>
      </c>
      <c r="F48" s="3" t="str">
        <f>INDEX('Tabel Referensi'!$D$2:$D$6,MATCH(Table1[[#This Row],[Kode Produk]],'Tabel Referensi'!$A$2:$A$6,0))</f>
        <v>Aksesoris</v>
      </c>
      <c r="G48" s="9">
        <f>_xlfn.XLOOKUP(Table1[[#This Row],[ID]],'Data Mentah'!$A$1:$A$101,'Data Mentah'!$D$1:$D$101,"",0)</f>
        <v>45285</v>
      </c>
      <c r="H48" s="3">
        <f>_xlfn.XLOOKUP(Table1[[#This Row],[ID]],'Data Mentah'!$A$1:$A$101,'Data Mentah'!$E$1:$E$101,"",0)</f>
        <v>4</v>
      </c>
      <c r="I48" s="10">
        <f>Table1[[#This Row],[Harga Satuan]]*Table1[[#This Row],[Quantity]]</f>
        <v>600000</v>
      </c>
      <c r="J48" s="3" t="str">
        <f>INDEX('Data Mentah'!$F$2:$F$101,MATCH(Table1[[#This Row],[ID]],'Data Mentah'!$A$2:$A$101,0))</f>
        <v>Tidak</v>
      </c>
      <c r="K48" s="3" t="str">
        <f>IF(AND(Table1[[#This Row],[Member]]="Ya",Table1[[#This Row],[Total Harga]]&gt;=1000000),"10%","0%")</f>
        <v>0%</v>
      </c>
      <c r="L48" s="11">
        <f>Table1[[#This Row],[Total Harga]]*Table1[[#This Row],[Status Diskon]]</f>
        <v>0</v>
      </c>
      <c r="M48" s="4">
        <f>Table1[[#This Row],[Total Harga]]-Table1[[#This Row],[Nominal Diskon]]</f>
        <v>600000</v>
      </c>
    </row>
    <row r="49" spans="1:13" x14ac:dyDescent="0.6">
      <c r="A49" s="2" t="s">
        <v>74</v>
      </c>
      <c r="B49" s="3" t="str">
        <f>PROPER(_xlfn.XLOOKUP(Table1[[#This Row],[ID]],'Data Mentah'!$A$2:$A$101,'Data Mentah'!$B$2:$B$101,"",0))</f>
        <v>Hendra Gunawan</v>
      </c>
      <c r="C49" s="3" t="str">
        <f>_xlfn.XLOOKUP(Table1[[#This Row],[ID]],'Data Mentah'!$A$2:$A$101,'Data Mentah'!$C$2:$C$101,"",0)</f>
        <v>P-03</v>
      </c>
      <c r="D49" s="3" t="str">
        <f>VLOOKUP(Table1[[#This Row],[Kode Produk]],'Tabel Referensi'!$A$2:$B$6,2,FALSE)</f>
        <v>Keyboard Mechanical</v>
      </c>
      <c r="E49" s="10">
        <f>INDEX('Tabel Referensi'!$C$2:$C$6,MATCH(Table1[[#This Row],[Kode Produk]],'Tabel Referensi'!$A$2:$A$6,0))</f>
        <v>450000</v>
      </c>
      <c r="F49" s="3" t="str">
        <f>INDEX('Tabel Referensi'!$D$2:$D$6,MATCH(Table1[[#This Row],[Kode Produk]],'Tabel Referensi'!$A$2:$A$6,0))</f>
        <v>Aksesoris</v>
      </c>
      <c r="G49" s="9">
        <f>_xlfn.XLOOKUP(Table1[[#This Row],[ID]],'Data Mentah'!$A$1:$A$101,'Data Mentah'!$D$1:$D$101,"",0)</f>
        <v>45288</v>
      </c>
      <c r="H49" s="3">
        <f>_xlfn.XLOOKUP(Table1[[#This Row],[ID]],'Data Mentah'!$A$1:$A$101,'Data Mentah'!$E$1:$E$101,"",0)</f>
        <v>1</v>
      </c>
      <c r="I49" s="10">
        <f>Table1[[#This Row],[Harga Satuan]]*Table1[[#This Row],[Quantity]]</f>
        <v>450000</v>
      </c>
      <c r="J49" s="3" t="str">
        <f>INDEX('Data Mentah'!$F$2:$F$101,MATCH(Table1[[#This Row],[ID]],'Data Mentah'!$A$2:$A$101,0))</f>
        <v>Tidak</v>
      </c>
      <c r="K49" s="3" t="str">
        <f>IF(AND(Table1[[#This Row],[Member]]="Ya",Table1[[#This Row],[Total Harga]]&gt;=1000000),"10%","0%")</f>
        <v>0%</v>
      </c>
      <c r="L49" s="11">
        <f>Table1[[#This Row],[Total Harga]]*Table1[[#This Row],[Status Diskon]]</f>
        <v>0</v>
      </c>
      <c r="M49" s="4">
        <f>Table1[[#This Row],[Total Harga]]-Table1[[#This Row],[Nominal Diskon]]</f>
        <v>450000</v>
      </c>
    </row>
    <row r="50" spans="1:13" x14ac:dyDescent="0.6">
      <c r="A50" s="2" t="s">
        <v>99</v>
      </c>
      <c r="B50" s="3" t="str">
        <f>PROPER(_xlfn.XLOOKUP(Table1[[#This Row],[ID]],'Data Mentah'!$A$2:$A$101,'Data Mentah'!$B$2:$B$101,"",0))</f>
        <v>Hendra Gunawan</v>
      </c>
      <c r="C50" s="3" t="str">
        <f>_xlfn.XLOOKUP(Table1[[#This Row],[ID]],'Data Mentah'!$A$2:$A$101,'Data Mentah'!$C$2:$C$101,"",0)</f>
        <v>P-04</v>
      </c>
      <c r="D50" s="3" t="str">
        <f>VLOOKUP(Table1[[#This Row],[Kode Produk]],'Tabel Referensi'!$A$2:$B$6,2,FALSE)</f>
        <v>Monitor 27 Inch</v>
      </c>
      <c r="E50" s="10">
        <f>INDEX('Tabel Referensi'!$C$2:$C$6,MATCH(Table1[[#This Row],[Kode Produk]],'Tabel Referensi'!$A$2:$A$6,0))</f>
        <v>2100000</v>
      </c>
      <c r="F50" s="3" t="str">
        <f>INDEX('Tabel Referensi'!$D$2:$D$6,MATCH(Table1[[#This Row],[Kode Produk]],'Tabel Referensi'!$A$2:$A$6,0))</f>
        <v>Komputer</v>
      </c>
      <c r="G50" s="9">
        <f>_xlfn.XLOOKUP(Table1[[#This Row],[ID]],'Data Mentah'!$A$1:$A$101,'Data Mentah'!$D$1:$D$101,"",0)</f>
        <v>45290</v>
      </c>
      <c r="H50" s="3">
        <f>_xlfn.XLOOKUP(Table1[[#This Row],[ID]],'Data Mentah'!$A$1:$A$101,'Data Mentah'!$E$1:$E$101,"",0)</f>
        <v>1</v>
      </c>
      <c r="I50" s="10">
        <f>Table1[[#This Row],[Harga Satuan]]*Table1[[#This Row],[Quantity]]</f>
        <v>2100000</v>
      </c>
      <c r="J50" s="3" t="str">
        <f>INDEX('Data Mentah'!$F$2:$F$101,MATCH(Table1[[#This Row],[ID]],'Data Mentah'!$A$2:$A$101,0))</f>
        <v>Tidak</v>
      </c>
      <c r="K50" s="3" t="str">
        <f>IF(AND(Table1[[#This Row],[Member]]="Ya",Table1[[#This Row],[Total Harga]]&gt;=1000000),"10%","0%")</f>
        <v>0%</v>
      </c>
      <c r="L50" s="11">
        <f>Table1[[#This Row],[Total Harga]]*Table1[[#This Row],[Status Diskon]]</f>
        <v>0</v>
      </c>
      <c r="M50" s="4">
        <f>Table1[[#This Row],[Total Harga]]-Table1[[#This Row],[Nominal Diskon]]</f>
        <v>2100000</v>
      </c>
    </row>
    <row r="51" spans="1:13" x14ac:dyDescent="0.6">
      <c r="A51" s="2" t="s">
        <v>124</v>
      </c>
      <c r="B51" s="3" t="str">
        <f>PROPER(_xlfn.XLOOKUP(Table1[[#This Row],[ID]],'Data Mentah'!$A$2:$A$101,'Data Mentah'!$B$2:$B$101,"",0))</f>
        <v>Hendra Gunawan</v>
      </c>
      <c r="C51" s="3" t="str">
        <f>_xlfn.XLOOKUP(Table1[[#This Row],[ID]],'Data Mentah'!$A$2:$A$101,'Data Mentah'!$C$2:$C$101,"",0)</f>
        <v>P-05</v>
      </c>
      <c r="D51" s="3" t="str">
        <f>VLOOKUP(Table1[[#This Row],[Kode Produk]],'Tabel Referensi'!$A$2:$B$6,2,FALSE)</f>
        <v>Flashdisk 64GB</v>
      </c>
      <c r="E51" s="10">
        <f>INDEX('Tabel Referensi'!$C$2:$C$6,MATCH(Table1[[#This Row],[Kode Produk]],'Tabel Referensi'!$A$2:$A$6,0))</f>
        <v>95000</v>
      </c>
      <c r="F51" s="3" t="str">
        <f>INDEX('Tabel Referensi'!$D$2:$D$6,MATCH(Table1[[#This Row],[Kode Produk]],'Tabel Referensi'!$A$2:$A$6,0))</f>
        <v>Aksesoris</v>
      </c>
      <c r="G51" s="9">
        <f>_xlfn.XLOOKUP(Table1[[#This Row],[ID]],'Data Mentah'!$A$1:$A$101,'Data Mentah'!$D$1:$D$101,"",0)</f>
        <v>45296</v>
      </c>
      <c r="H51" s="3">
        <f>_xlfn.XLOOKUP(Table1[[#This Row],[ID]],'Data Mentah'!$A$1:$A$101,'Data Mentah'!$E$1:$E$101,"",0)</f>
        <v>3</v>
      </c>
      <c r="I51" s="10">
        <f>Table1[[#This Row],[Harga Satuan]]*Table1[[#This Row],[Quantity]]</f>
        <v>285000</v>
      </c>
      <c r="J51" s="3" t="str">
        <f>INDEX('Data Mentah'!$F$2:$F$101,MATCH(Table1[[#This Row],[ID]],'Data Mentah'!$A$2:$A$101,0))</f>
        <v>Tidak</v>
      </c>
      <c r="K51" s="3" t="str">
        <f>IF(AND(Table1[[#This Row],[Member]]="Ya",Table1[[#This Row],[Total Harga]]&gt;=1000000),"10%","0%")</f>
        <v>0%</v>
      </c>
      <c r="L51" s="11">
        <f>Table1[[#This Row],[Total Harga]]*Table1[[#This Row],[Status Diskon]]</f>
        <v>0</v>
      </c>
      <c r="M51" s="4">
        <f>Table1[[#This Row],[Total Harga]]-Table1[[#This Row],[Nominal Diskon]]</f>
        <v>285000</v>
      </c>
    </row>
    <row r="52" spans="1:13" x14ac:dyDescent="0.6">
      <c r="A52" s="2" t="s">
        <v>37</v>
      </c>
      <c r="B52" s="3" t="str">
        <f>PROPER(_xlfn.XLOOKUP(Table1[[#This Row],[ID]],'Data Mentah'!$A$2:$A$101,'Data Mentah'!$B$2:$B$101,"",0))</f>
        <v>Indra Bekti</v>
      </c>
      <c r="C52" s="3" t="str">
        <f>_xlfn.XLOOKUP(Table1[[#This Row],[ID]],'Data Mentah'!$A$2:$A$101,'Data Mentah'!$C$2:$C$101,"",0)</f>
        <v>P-03</v>
      </c>
      <c r="D52" s="3" t="str">
        <f>VLOOKUP(Table1[[#This Row],[Kode Produk]],'Tabel Referensi'!$A$2:$B$6,2,FALSE)</f>
        <v>Keyboard Mechanical</v>
      </c>
      <c r="E52" s="10">
        <f>INDEX('Tabel Referensi'!$C$2:$C$6,MATCH(Table1[[#This Row],[Kode Produk]],'Tabel Referensi'!$A$2:$A$6,0))</f>
        <v>450000</v>
      </c>
      <c r="F52" s="3" t="str">
        <f>INDEX('Tabel Referensi'!$D$2:$D$6,MATCH(Table1[[#This Row],[Kode Produk]],'Tabel Referensi'!$A$2:$A$6,0))</f>
        <v>Aksesoris</v>
      </c>
      <c r="G52" s="9">
        <f>_xlfn.XLOOKUP(Table1[[#This Row],[ID]],'Data Mentah'!$A$1:$A$101,'Data Mentah'!$D$1:$D$101,"",0)</f>
        <v>45301</v>
      </c>
      <c r="H52" s="3">
        <f>_xlfn.XLOOKUP(Table1[[#This Row],[ID]],'Data Mentah'!$A$1:$A$101,'Data Mentah'!$E$1:$E$101,"",0)</f>
        <v>2</v>
      </c>
      <c r="I52" s="10">
        <f>Table1[[#This Row],[Harga Satuan]]*Table1[[#This Row],[Quantity]]</f>
        <v>900000</v>
      </c>
      <c r="J52" s="3" t="str">
        <f>INDEX('Data Mentah'!$F$2:$F$101,MATCH(Table1[[#This Row],[ID]],'Data Mentah'!$A$2:$A$101,0))</f>
        <v>Ya</v>
      </c>
      <c r="K52" s="3" t="str">
        <f>IF(AND(Table1[[#This Row],[Member]]="Ya",Table1[[#This Row],[Total Harga]]&gt;=1000000),"10%","0%")</f>
        <v>0%</v>
      </c>
      <c r="L52" s="11">
        <f>Table1[[#This Row],[Total Harga]]*Table1[[#This Row],[Status Diskon]]</f>
        <v>0</v>
      </c>
      <c r="M52" s="4">
        <f>Table1[[#This Row],[Total Harga]]-Table1[[#This Row],[Nominal Diskon]]</f>
        <v>900000</v>
      </c>
    </row>
    <row r="53" spans="1:13" x14ac:dyDescent="0.6">
      <c r="A53" s="2" t="s">
        <v>75</v>
      </c>
      <c r="B53" s="3" t="str">
        <f>PROPER(_xlfn.XLOOKUP(Table1[[#This Row],[ID]],'Data Mentah'!$A$2:$A$101,'Data Mentah'!$B$2:$B$101,"",0))</f>
        <v>Indra Bekti</v>
      </c>
      <c r="C53" s="3" t="str">
        <f>_xlfn.XLOOKUP(Table1[[#This Row],[ID]],'Data Mentah'!$A$2:$A$101,'Data Mentah'!$C$2:$C$101,"",0)</f>
        <v>P-04</v>
      </c>
      <c r="D53" s="3" t="str">
        <f>VLOOKUP(Table1[[#This Row],[Kode Produk]],'Tabel Referensi'!$A$2:$B$6,2,FALSE)</f>
        <v>Monitor 27 Inch</v>
      </c>
      <c r="E53" s="10">
        <f>INDEX('Tabel Referensi'!$C$2:$C$6,MATCH(Table1[[#This Row],[Kode Produk]],'Tabel Referensi'!$A$2:$A$6,0))</f>
        <v>2100000</v>
      </c>
      <c r="F53" s="3" t="str">
        <f>INDEX('Tabel Referensi'!$D$2:$D$6,MATCH(Table1[[#This Row],[Kode Produk]],'Tabel Referensi'!$A$2:$A$6,0))</f>
        <v>Komputer</v>
      </c>
      <c r="G53" s="9">
        <f>_xlfn.XLOOKUP(Table1[[#This Row],[ID]],'Data Mentah'!$A$1:$A$101,'Data Mentah'!$D$1:$D$101,"",0)</f>
        <v>45303</v>
      </c>
      <c r="H53" s="3">
        <f>_xlfn.XLOOKUP(Table1[[#This Row],[ID]],'Data Mentah'!$A$1:$A$101,'Data Mentah'!$E$1:$E$101,"",0)</f>
        <v>3</v>
      </c>
      <c r="I53" s="10">
        <f>Table1[[#This Row],[Harga Satuan]]*Table1[[#This Row],[Quantity]]</f>
        <v>6300000</v>
      </c>
      <c r="J53" s="3" t="str">
        <f>INDEX('Data Mentah'!$F$2:$F$101,MATCH(Table1[[#This Row],[ID]],'Data Mentah'!$A$2:$A$101,0))</f>
        <v>Ya</v>
      </c>
      <c r="K53" s="3" t="str">
        <f>IF(AND(Table1[[#This Row],[Member]]="Ya",Table1[[#This Row],[Total Harga]]&gt;=1000000),"10%","0%")</f>
        <v>10%</v>
      </c>
      <c r="L53" s="11">
        <f>Table1[[#This Row],[Total Harga]]*Table1[[#This Row],[Status Diskon]]</f>
        <v>630000</v>
      </c>
      <c r="M53" s="4">
        <f>Table1[[#This Row],[Total Harga]]-Table1[[#This Row],[Nominal Diskon]]</f>
        <v>5670000</v>
      </c>
    </row>
    <row r="54" spans="1:13" x14ac:dyDescent="0.6">
      <c r="A54" s="2" t="s">
        <v>100</v>
      </c>
      <c r="B54" s="3" t="str">
        <f>PROPER(_xlfn.XLOOKUP(Table1[[#This Row],[ID]],'Data Mentah'!$A$2:$A$101,'Data Mentah'!$B$2:$B$101,"",0))</f>
        <v>Indra Bekti</v>
      </c>
      <c r="C54" s="3" t="str">
        <f>_xlfn.XLOOKUP(Table1[[#This Row],[ID]],'Data Mentah'!$A$2:$A$101,'Data Mentah'!$C$2:$C$101,"",0)</f>
        <v>P-05</v>
      </c>
      <c r="D54" s="3" t="str">
        <f>VLOOKUP(Table1[[#This Row],[Kode Produk]],'Tabel Referensi'!$A$2:$B$6,2,FALSE)</f>
        <v>Flashdisk 64GB</v>
      </c>
      <c r="E54" s="10">
        <f>INDEX('Tabel Referensi'!$C$2:$C$6,MATCH(Table1[[#This Row],[Kode Produk]],'Tabel Referensi'!$A$2:$A$6,0))</f>
        <v>95000</v>
      </c>
      <c r="F54" s="3" t="str">
        <f>INDEX('Tabel Referensi'!$D$2:$D$6,MATCH(Table1[[#This Row],[Kode Produk]],'Tabel Referensi'!$A$2:$A$6,0))</f>
        <v>Aksesoris</v>
      </c>
      <c r="G54" s="9">
        <f>_xlfn.XLOOKUP(Table1[[#This Row],[ID]],'Data Mentah'!$A$1:$A$101,'Data Mentah'!$D$1:$D$101,"",0)</f>
        <v>45306</v>
      </c>
      <c r="H54" s="3">
        <f>_xlfn.XLOOKUP(Table1[[#This Row],[ID]],'Data Mentah'!$A$1:$A$101,'Data Mentah'!$E$1:$E$101,"",0)</f>
        <v>3</v>
      </c>
      <c r="I54" s="10">
        <f>Table1[[#This Row],[Harga Satuan]]*Table1[[#This Row],[Quantity]]</f>
        <v>285000</v>
      </c>
      <c r="J54" s="3" t="str">
        <f>INDEX('Data Mentah'!$F$2:$F$101,MATCH(Table1[[#This Row],[ID]],'Data Mentah'!$A$2:$A$101,0))</f>
        <v>Ya</v>
      </c>
      <c r="K54" s="3" t="str">
        <f>IF(AND(Table1[[#This Row],[Member]]="Ya",Table1[[#This Row],[Total Harga]]&gt;=1000000),"10%","0%")</f>
        <v>0%</v>
      </c>
      <c r="L54" s="11">
        <f>Table1[[#This Row],[Total Harga]]*Table1[[#This Row],[Status Diskon]]</f>
        <v>0</v>
      </c>
      <c r="M54" s="4">
        <f>Table1[[#This Row],[Total Harga]]-Table1[[#This Row],[Nominal Diskon]]</f>
        <v>285000</v>
      </c>
    </row>
    <row r="55" spans="1:13" x14ac:dyDescent="0.6">
      <c r="A55" s="2" t="s">
        <v>125</v>
      </c>
      <c r="B55" s="3" t="str">
        <f>PROPER(_xlfn.XLOOKUP(Table1[[#This Row],[ID]],'Data Mentah'!$A$2:$A$101,'Data Mentah'!$B$2:$B$101,"",0))</f>
        <v>Indra Bekti</v>
      </c>
      <c r="C55" s="3" t="str">
        <f>_xlfn.XLOOKUP(Table1[[#This Row],[ID]],'Data Mentah'!$A$2:$A$101,'Data Mentah'!$C$2:$C$101,"",0)</f>
        <v>P-01</v>
      </c>
      <c r="D55" s="3" t="str">
        <f>VLOOKUP(Table1[[#This Row],[Kode Produk]],'Tabel Referensi'!$A$2:$B$6,2,FALSE)</f>
        <v>Laptop Pro 14</v>
      </c>
      <c r="E55" s="10">
        <f>INDEX('Tabel Referensi'!$C$2:$C$6,MATCH(Table1[[#This Row],[Kode Produk]],'Tabel Referensi'!$A$2:$A$6,0))</f>
        <v>12500000</v>
      </c>
      <c r="F55" s="3" t="str">
        <f>INDEX('Tabel Referensi'!$D$2:$D$6,MATCH(Table1[[#This Row],[Kode Produk]],'Tabel Referensi'!$A$2:$A$6,0))</f>
        <v>Komputer</v>
      </c>
      <c r="G55" s="9">
        <f>_xlfn.XLOOKUP(Table1[[#This Row],[ID]],'Data Mentah'!$A$1:$A$101,'Data Mentah'!$D$1:$D$101,"",0)</f>
        <v>45309</v>
      </c>
      <c r="H55" s="3">
        <f>_xlfn.XLOOKUP(Table1[[#This Row],[ID]],'Data Mentah'!$A$1:$A$101,'Data Mentah'!$E$1:$E$101,"",0)</f>
        <v>1</v>
      </c>
      <c r="I55" s="10">
        <f>Table1[[#This Row],[Harga Satuan]]*Table1[[#This Row],[Quantity]]</f>
        <v>12500000</v>
      </c>
      <c r="J55" s="3" t="str">
        <f>INDEX('Data Mentah'!$F$2:$F$101,MATCH(Table1[[#This Row],[ID]],'Data Mentah'!$A$2:$A$101,0))</f>
        <v>Ya</v>
      </c>
      <c r="K55" s="3" t="str">
        <f>IF(AND(Table1[[#This Row],[Member]]="Ya",Table1[[#This Row],[Total Harga]]&gt;=1000000),"10%","0%")</f>
        <v>10%</v>
      </c>
      <c r="L55" s="11">
        <f>Table1[[#This Row],[Total Harga]]*Table1[[#This Row],[Status Diskon]]</f>
        <v>1250000</v>
      </c>
      <c r="M55" s="4">
        <f>Table1[[#This Row],[Total Harga]]-Table1[[#This Row],[Nominal Diskon]]</f>
        <v>11250000</v>
      </c>
    </row>
    <row r="56" spans="1:13" x14ac:dyDescent="0.6">
      <c r="A56" s="2" t="s">
        <v>39</v>
      </c>
      <c r="B56" s="3" t="str">
        <f>PROPER(_xlfn.XLOOKUP(Table1[[#This Row],[ID]],'Data Mentah'!$A$2:$A$101,'Data Mentah'!$B$2:$B$101,"",0))</f>
        <v>Joko Widodo</v>
      </c>
      <c r="C56" s="3" t="str">
        <f>_xlfn.XLOOKUP(Table1[[#This Row],[ID]],'Data Mentah'!$A$2:$A$101,'Data Mentah'!$C$2:$C$101,"",0)</f>
        <v>P-04</v>
      </c>
      <c r="D56" s="3" t="str">
        <f>VLOOKUP(Table1[[#This Row],[Kode Produk]],'Tabel Referensi'!$A$2:$B$6,2,FALSE)</f>
        <v>Monitor 27 Inch</v>
      </c>
      <c r="E56" s="10">
        <f>INDEX('Tabel Referensi'!$C$2:$C$6,MATCH(Table1[[#This Row],[Kode Produk]],'Tabel Referensi'!$A$2:$A$6,0))</f>
        <v>2100000</v>
      </c>
      <c r="F56" s="3" t="str">
        <f>INDEX('Tabel Referensi'!$D$2:$D$6,MATCH(Table1[[#This Row],[Kode Produk]],'Tabel Referensi'!$A$2:$A$6,0))</f>
        <v>Komputer</v>
      </c>
      <c r="G56" s="9">
        <f>_xlfn.XLOOKUP(Table1[[#This Row],[ID]],'Data Mentah'!$A$1:$A$101,'Data Mentah'!$D$1:$D$101,"",0)</f>
        <v>45336</v>
      </c>
      <c r="H56" s="3">
        <f>_xlfn.XLOOKUP(Table1[[#This Row],[ID]],'Data Mentah'!$A$1:$A$101,'Data Mentah'!$E$1:$E$101,"",0)</f>
        <v>1</v>
      </c>
      <c r="I56" s="10">
        <f>Table1[[#This Row],[Harga Satuan]]*Table1[[#This Row],[Quantity]]</f>
        <v>2100000</v>
      </c>
      <c r="J56" s="3" t="str">
        <f>INDEX('Data Mentah'!$F$2:$F$101,MATCH(Table1[[#This Row],[ID]],'Data Mentah'!$A$2:$A$101,0))</f>
        <v>Tidak</v>
      </c>
      <c r="K56" s="3" t="str">
        <f>IF(AND(Table1[[#This Row],[Member]]="Ya",Table1[[#This Row],[Total Harga]]&gt;=1000000),"10%","0%")</f>
        <v>0%</v>
      </c>
      <c r="L56" s="11">
        <f>Table1[[#This Row],[Total Harga]]*Table1[[#This Row],[Status Diskon]]</f>
        <v>0</v>
      </c>
      <c r="M56" s="4">
        <f>Table1[[#This Row],[Total Harga]]-Table1[[#This Row],[Nominal Diskon]]</f>
        <v>2100000</v>
      </c>
    </row>
    <row r="57" spans="1:13" x14ac:dyDescent="0.6">
      <c r="A57" s="2" t="s">
        <v>76</v>
      </c>
      <c r="B57" s="3" t="str">
        <f>PROPER(_xlfn.XLOOKUP(Table1[[#This Row],[ID]],'Data Mentah'!$A$2:$A$101,'Data Mentah'!$B$2:$B$101,"",0))</f>
        <v>Joko Widodo</v>
      </c>
      <c r="C57" s="3" t="str">
        <f>_xlfn.XLOOKUP(Table1[[#This Row],[ID]],'Data Mentah'!$A$2:$A$101,'Data Mentah'!$C$2:$C$101,"",0)</f>
        <v>P-05</v>
      </c>
      <c r="D57" s="3" t="str">
        <f>VLOOKUP(Table1[[#This Row],[Kode Produk]],'Tabel Referensi'!$A$2:$B$6,2,FALSE)</f>
        <v>Flashdisk 64GB</v>
      </c>
      <c r="E57" s="10">
        <f>INDEX('Tabel Referensi'!$C$2:$C$6,MATCH(Table1[[#This Row],[Kode Produk]],'Tabel Referensi'!$A$2:$A$6,0))</f>
        <v>95000</v>
      </c>
      <c r="F57" s="3" t="str">
        <f>INDEX('Tabel Referensi'!$D$2:$D$6,MATCH(Table1[[#This Row],[Kode Produk]],'Tabel Referensi'!$A$2:$A$6,0))</f>
        <v>Aksesoris</v>
      </c>
      <c r="G57" s="9">
        <f>_xlfn.XLOOKUP(Table1[[#This Row],[ID]],'Data Mentah'!$A$1:$A$101,'Data Mentah'!$D$1:$D$101,"",0)</f>
        <v>45340</v>
      </c>
      <c r="H57" s="3">
        <f>_xlfn.XLOOKUP(Table1[[#This Row],[ID]],'Data Mentah'!$A$1:$A$101,'Data Mentah'!$E$1:$E$101,"",0)</f>
        <v>2</v>
      </c>
      <c r="I57" s="10">
        <f>Table1[[#This Row],[Harga Satuan]]*Table1[[#This Row],[Quantity]]</f>
        <v>190000</v>
      </c>
      <c r="J57" s="3" t="str">
        <f>INDEX('Data Mentah'!$F$2:$F$101,MATCH(Table1[[#This Row],[ID]],'Data Mentah'!$A$2:$A$101,0))</f>
        <v>Tidak</v>
      </c>
      <c r="K57" s="3" t="str">
        <f>IF(AND(Table1[[#This Row],[Member]]="Ya",Table1[[#This Row],[Total Harga]]&gt;=1000000),"10%","0%")</f>
        <v>0%</v>
      </c>
      <c r="L57" s="11">
        <f>Table1[[#This Row],[Total Harga]]*Table1[[#This Row],[Status Diskon]]</f>
        <v>0</v>
      </c>
      <c r="M57" s="4">
        <f>Table1[[#This Row],[Total Harga]]-Table1[[#This Row],[Nominal Diskon]]</f>
        <v>190000</v>
      </c>
    </row>
    <row r="58" spans="1:13" x14ac:dyDescent="0.6">
      <c r="A58" s="2" t="s">
        <v>101</v>
      </c>
      <c r="B58" s="3" t="str">
        <f>PROPER(_xlfn.XLOOKUP(Table1[[#This Row],[ID]],'Data Mentah'!$A$2:$A$101,'Data Mentah'!$B$2:$B$101,"",0))</f>
        <v>Joko Widodo</v>
      </c>
      <c r="C58" s="3" t="str">
        <f>_xlfn.XLOOKUP(Table1[[#This Row],[ID]],'Data Mentah'!$A$2:$A$101,'Data Mentah'!$C$2:$C$101,"",0)</f>
        <v>P-01</v>
      </c>
      <c r="D58" s="3" t="str">
        <f>VLOOKUP(Table1[[#This Row],[Kode Produk]],'Tabel Referensi'!$A$2:$B$6,2,FALSE)</f>
        <v>Laptop Pro 14</v>
      </c>
      <c r="E58" s="10">
        <f>INDEX('Tabel Referensi'!$C$2:$C$6,MATCH(Table1[[#This Row],[Kode Produk]],'Tabel Referensi'!$A$2:$A$6,0))</f>
        <v>12500000</v>
      </c>
      <c r="F58" s="3" t="str">
        <f>INDEX('Tabel Referensi'!$D$2:$D$6,MATCH(Table1[[#This Row],[Kode Produk]],'Tabel Referensi'!$A$2:$A$6,0))</f>
        <v>Komputer</v>
      </c>
      <c r="G58" s="9">
        <f>_xlfn.XLOOKUP(Table1[[#This Row],[ID]],'Data Mentah'!$A$1:$A$101,'Data Mentah'!$D$1:$D$101,"",0)</f>
        <v>45344</v>
      </c>
      <c r="H58" s="3">
        <f>_xlfn.XLOOKUP(Table1[[#This Row],[ID]],'Data Mentah'!$A$1:$A$101,'Data Mentah'!$E$1:$E$101,"",0)</f>
        <v>1</v>
      </c>
      <c r="I58" s="10">
        <f>Table1[[#This Row],[Harga Satuan]]*Table1[[#This Row],[Quantity]]</f>
        <v>12500000</v>
      </c>
      <c r="J58" s="3" t="str">
        <f>INDEX('Data Mentah'!$F$2:$F$101,MATCH(Table1[[#This Row],[ID]],'Data Mentah'!$A$2:$A$101,0))</f>
        <v>Tidak</v>
      </c>
      <c r="K58" s="3" t="str">
        <f>IF(AND(Table1[[#This Row],[Member]]="Ya",Table1[[#This Row],[Total Harga]]&gt;=1000000),"10%","0%")</f>
        <v>0%</v>
      </c>
      <c r="L58" s="11">
        <f>Table1[[#This Row],[Total Harga]]*Table1[[#This Row],[Status Diskon]]</f>
        <v>0</v>
      </c>
      <c r="M58" s="4">
        <f>Table1[[#This Row],[Total Harga]]-Table1[[#This Row],[Nominal Diskon]]</f>
        <v>12500000</v>
      </c>
    </row>
    <row r="59" spans="1:13" x14ac:dyDescent="0.6">
      <c r="A59" s="2" t="s">
        <v>126</v>
      </c>
      <c r="B59" s="3" t="str">
        <f>PROPER(_xlfn.XLOOKUP(Table1[[#This Row],[ID]],'Data Mentah'!$A$2:$A$101,'Data Mentah'!$B$2:$B$101,"",0))</f>
        <v>Joko Widodo</v>
      </c>
      <c r="C59" s="3" t="str">
        <f>_xlfn.XLOOKUP(Table1[[#This Row],[ID]],'Data Mentah'!$A$2:$A$101,'Data Mentah'!$C$2:$C$101,"",0)</f>
        <v>P-02</v>
      </c>
      <c r="D59" s="3" t="str">
        <f>VLOOKUP(Table1[[#This Row],[Kode Produk]],'Tabel Referensi'!$A$2:$B$6,2,FALSE)</f>
        <v>Mouse Wireless</v>
      </c>
      <c r="E59" s="10">
        <f>INDEX('Tabel Referensi'!$C$2:$C$6,MATCH(Table1[[#This Row],[Kode Produk]],'Tabel Referensi'!$A$2:$A$6,0))</f>
        <v>150000</v>
      </c>
      <c r="F59" s="3" t="str">
        <f>INDEX('Tabel Referensi'!$D$2:$D$6,MATCH(Table1[[#This Row],[Kode Produk]],'Tabel Referensi'!$A$2:$A$6,0))</f>
        <v>Aksesoris</v>
      </c>
      <c r="G59" s="9">
        <f>_xlfn.XLOOKUP(Table1[[#This Row],[ID]],'Data Mentah'!$A$1:$A$101,'Data Mentah'!$D$1:$D$101,"",0)</f>
        <v>45347</v>
      </c>
      <c r="H59" s="3">
        <f>_xlfn.XLOOKUP(Table1[[#This Row],[ID]],'Data Mentah'!$A$1:$A$101,'Data Mentah'!$E$1:$E$101,"",0)</f>
        <v>4</v>
      </c>
      <c r="I59" s="10">
        <f>Table1[[#This Row],[Harga Satuan]]*Table1[[#This Row],[Quantity]]</f>
        <v>600000</v>
      </c>
      <c r="J59" s="3" t="str">
        <f>INDEX('Data Mentah'!$F$2:$F$101,MATCH(Table1[[#This Row],[ID]],'Data Mentah'!$A$2:$A$101,0))</f>
        <v>Tidak</v>
      </c>
      <c r="K59" s="3" t="str">
        <f>IF(AND(Table1[[#This Row],[Member]]="Ya",Table1[[#This Row],[Total Harga]]&gt;=1000000),"10%","0%")</f>
        <v>0%</v>
      </c>
      <c r="L59" s="11">
        <f>Table1[[#This Row],[Total Harga]]*Table1[[#This Row],[Status Diskon]]</f>
        <v>0</v>
      </c>
      <c r="M59" s="4">
        <f>Table1[[#This Row],[Total Harga]]-Table1[[#This Row],[Nominal Diskon]]</f>
        <v>600000</v>
      </c>
    </row>
    <row r="60" spans="1:13" x14ac:dyDescent="0.6">
      <c r="A60" s="2" t="s">
        <v>41</v>
      </c>
      <c r="B60" s="3" t="str">
        <f>PROPER(_xlfn.XLOOKUP(Table1[[#This Row],[ID]],'Data Mentah'!$A$2:$A$101,'Data Mentah'!$B$2:$B$101,"",0))</f>
        <v>Kiki Amalia</v>
      </c>
      <c r="C60" s="3" t="str">
        <f>_xlfn.XLOOKUP(Table1[[#This Row],[ID]],'Data Mentah'!$A$2:$A$101,'Data Mentah'!$C$2:$C$101,"",0)</f>
        <v>P-05</v>
      </c>
      <c r="D60" s="3" t="str">
        <f>VLOOKUP(Table1[[#This Row],[Kode Produk]],'Tabel Referensi'!$A$2:$B$6,2,FALSE)</f>
        <v>Flashdisk 64GB</v>
      </c>
      <c r="E60" s="10">
        <f>INDEX('Tabel Referensi'!$C$2:$C$6,MATCH(Table1[[#This Row],[Kode Produk]],'Tabel Referensi'!$A$2:$A$6,0))</f>
        <v>95000</v>
      </c>
      <c r="F60" s="3" t="str">
        <f>INDEX('Tabel Referensi'!$D$2:$D$6,MATCH(Table1[[#This Row],[Kode Produk]],'Tabel Referensi'!$A$2:$A$6,0))</f>
        <v>Aksesoris</v>
      </c>
      <c r="G60" s="9">
        <f>_xlfn.XLOOKUP(Table1[[#This Row],[ID]],'Data Mentah'!$A$1:$A$101,'Data Mentah'!$D$1:$D$101,"",0)</f>
        <v>45356</v>
      </c>
      <c r="H60" s="3">
        <f>_xlfn.XLOOKUP(Table1[[#This Row],[ID]],'Data Mentah'!$A$1:$A$101,'Data Mentah'!$E$1:$E$101,"",0)</f>
        <v>8</v>
      </c>
      <c r="I60" s="10">
        <f>Table1[[#This Row],[Harga Satuan]]*Table1[[#This Row],[Quantity]]</f>
        <v>760000</v>
      </c>
      <c r="J60" s="3" t="str">
        <f>INDEX('Data Mentah'!$F$2:$F$101,MATCH(Table1[[#This Row],[ID]],'Data Mentah'!$A$2:$A$101,0))</f>
        <v>Ya</v>
      </c>
      <c r="K60" s="3" t="str">
        <f>IF(AND(Table1[[#This Row],[Member]]="Ya",Table1[[#This Row],[Total Harga]]&gt;=1000000),"10%","0%")</f>
        <v>0%</v>
      </c>
      <c r="L60" s="11">
        <f>Table1[[#This Row],[Total Harga]]*Table1[[#This Row],[Status Diskon]]</f>
        <v>0</v>
      </c>
      <c r="M60" s="4">
        <f>Table1[[#This Row],[Total Harga]]-Table1[[#This Row],[Nominal Diskon]]</f>
        <v>760000</v>
      </c>
    </row>
    <row r="61" spans="1:13" x14ac:dyDescent="0.6">
      <c r="A61" s="2" t="s">
        <v>77</v>
      </c>
      <c r="B61" s="3" t="str">
        <f>PROPER(_xlfn.XLOOKUP(Table1[[#This Row],[ID]],'Data Mentah'!$A$2:$A$101,'Data Mentah'!$B$2:$B$101,"",0))</f>
        <v>Kiki Amalia</v>
      </c>
      <c r="C61" s="3" t="str">
        <f>_xlfn.XLOOKUP(Table1[[#This Row],[ID]],'Data Mentah'!$A$2:$A$101,'Data Mentah'!$C$2:$C$101,"",0)</f>
        <v>P-01</v>
      </c>
      <c r="D61" s="3" t="str">
        <f>VLOOKUP(Table1[[#This Row],[Kode Produk]],'Tabel Referensi'!$A$2:$B$6,2,FALSE)</f>
        <v>Laptop Pro 14</v>
      </c>
      <c r="E61" s="10">
        <f>INDEX('Tabel Referensi'!$C$2:$C$6,MATCH(Table1[[#This Row],[Kode Produk]],'Tabel Referensi'!$A$2:$A$6,0))</f>
        <v>12500000</v>
      </c>
      <c r="F61" s="3" t="str">
        <f>INDEX('Tabel Referensi'!$D$2:$D$6,MATCH(Table1[[#This Row],[Kode Produk]],'Tabel Referensi'!$A$2:$A$6,0))</f>
        <v>Komputer</v>
      </c>
      <c r="G61" s="9">
        <f>_xlfn.XLOOKUP(Table1[[#This Row],[ID]],'Data Mentah'!$A$1:$A$101,'Data Mentah'!$D$1:$D$101,"",0)</f>
        <v>45359</v>
      </c>
      <c r="H61" s="3">
        <f>_xlfn.XLOOKUP(Table1[[#This Row],[ID]],'Data Mentah'!$A$1:$A$101,'Data Mentah'!$E$1:$E$101,"",0)</f>
        <v>1</v>
      </c>
      <c r="I61" s="10">
        <f>Table1[[#This Row],[Harga Satuan]]*Table1[[#This Row],[Quantity]]</f>
        <v>12500000</v>
      </c>
      <c r="J61" s="3" t="str">
        <f>INDEX('Data Mentah'!$F$2:$F$101,MATCH(Table1[[#This Row],[ID]],'Data Mentah'!$A$2:$A$101,0))</f>
        <v>Ya</v>
      </c>
      <c r="K61" s="3" t="str">
        <f>IF(AND(Table1[[#This Row],[Member]]="Ya",Table1[[#This Row],[Total Harga]]&gt;=1000000),"10%","0%")</f>
        <v>10%</v>
      </c>
      <c r="L61" s="11">
        <f>Table1[[#This Row],[Total Harga]]*Table1[[#This Row],[Status Diskon]]</f>
        <v>1250000</v>
      </c>
      <c r="M61" s="4">
        <f>Table1[[#This Row],[Total Harga]]-Table1[[#This Row],[Nominal Diskon]]</f>
        <v>11250000</v>
      </c>
    </row>
    <row r="62" spans="1:13" x14ac:dyDescent="0.6">
      <c r="A62" s="2" t="s">
        <v>102</v>
      </c>
      <c r="B62" s="3" t="str">
        <f>PROPER(_xlfn.XLOOKUP(Table1[[#This Row],[ID]],'Data Mentah'!$A$2:$A$101,'Data Mentah'!$B$2:$B$101,"",0))</f>
        <v>Kiki Amalia</v>
      </c>
      <c r="C62" s="3" t="str">
        <f>_xlfn.XLOOKUP(Table1[[#This Row],[ID]],'Data Mentah'!$A$2:$A$101,'Data Mentah'!$C$2:$C$101,"",0)</f>
        <v>P-02</v>
      </c>
      <c r="D62" s="3" t="str">
        <f>VLOOKUP(Table1[[#This Row],[Kode Produk]],'Tabel Referensi'!$A$2:$B$6,2,FALSE)</f>
        <v>Mouse Wireless</v>
      </c>
      <c r="E62" s="10">
        <f>INDEX('Tabel Referensi'!$C$2:$C$6,MATCH(Table1[[#This Row],[Kode Produk]],'Tabel Referensi'!$A$2:$A$6,0))</f>
        <v>150000</v>
      </c>
      <c r="F62" s="3" t="str">
        <f>INDEX('Tabel Referensi'!$D$2:$D$6,MATCH(Table1[[#This Row],[Kode Produk]],'Tabel Referensi'!$A$2:$A$6,0))</f>
        <v>Aksesoris</v>
      </c>
      <c r="G62" s="9">
        <f>_xlfn.XLOOKUP(Table1[[#This Row],[ID]],'Data Mentah'!$A$1:$A$101,'Data Mentah'!$D$1:$D$101,"",0)</f>
        <v>45363</v>
      </c>
      <c r="H62" s="3">
        <f>_xlfn.XLOOKUP(Table1[[#This Row],[ID]],'Data Mentah'!$A$1:$A$101,'Data Mentah'!$E$1:$E$101,"",0)</f>
        <v>5</v>
      </c>
      <c r="I62" s="10">
        <f>Table1[[#This Row],[Harga Satuan]]*Table1[[#This Row],[Quantity]]</f>
        <v>750000</v>
      </c>
      <c r="J62" s="3" t="str">
        <f>INDEX('Data Mentah'!$F$2:$F$101,MATCH(Table1[[#This Row],[ID]],'Data Mentah'!$A$2:$A$101,0))</f>
        <v>Ya</v>
      </c>
      <c r="K62" s="3" t="str">
        <f>IF(AND(Table1[[#This Row],[Member]]="Ya",Table1[[#This Row],[Total Harga]]&gt;=1000000),"10%","0%")</f>
        <v>0%</v>
      </c>
      <c r="L62" s="11">
        <f>Table1[[#This Row],[Total Harga]]*Table1[[#This Row],[Status Diskon]]</f>
        <v>0</v>
      </c>
      <c r="M62" s="4">
        <f>Table1[[#This Row],[Total Harga]]-Table1[[#This Row],[Nominal Diskon]]</f>
        <v>750000</v>
      </c>
    </row>
    <row r="63" spans="1:13" x14ac:dyDescent="0.6">
      <c r="A63" s="2" t="s">
        <v>127</v>
      </c>
      <c r="B63" s="3" t="str">
        <f>PROPER(_xlfn.XLOOKUP(Table1[[#This Row],[ID]],'Data Mentah'!$A$2:$A$101,'Data Mentah'!$B$2:$B$101,"",0))</f>
        <v>Kiki Amalia</v>
      </c>
      <c r="C63" s="3" t="str">
        <f>_xlfn.XLOOKUP(Table1[[#This Row],[ID]],'Data Mentah'!$A$2:$A$101,'Data Mentah'!$C$2:$C$101,"",0)</f>
        <v>P-03</v>
      </c>
      <c r="D63" s="3" t="str">
        <f>VLOOKUP(Table1[[#This Row],[Kode Produk]],'Tabel Referensi'!$A$2:$B$6,2,FALSE)</f>
        <v>Keyboard Mechanical</v>
      </c>
      <c r="E63" s="10">
        <f>INDEX('Tabel Referensi'!$C$2:$C$6,MATCH(Table1[[#This Row],[Kode Produk]],'Tabel Referensi'!$A$2:$A$6,0))</f>
        <v>450000</v>
      </c>
      <c r="F63" s="3" t="str">
        <f>INDEX('Tabel Referensi'!$D$2:$D$6,MATCH(Table1[[#This Row],[Kode Produk]],'Tabel Referensi'!$A$2:$A$6,0))</f>
        <v>Aksesoris</v>
      </c>
      <c r="G63" s="9">
        <f>_xlfn.XLOOKUP(Table1[[#This Row],[ID]],'Data Mentah'!$A$1:$A$101,'Data Mentah'!$D$1:$D$101,"",0)</f>
        <v>45366</v>
      </c>
      <c r="H63" s="3">
        <f>_xlfn.XLOOKUP(Table1[[#This Row],[ID]],'Data Mentah'!$A$1:$A$101,'Data Mentah'!$E$1:$E$101,"",0)</f>
        <v>2</v>
      </c>
      <c r="I63" s="10">
        <f>Table1[[#This Row],[Harga Satuan]]*Table1[[#This Row],[Quantity]]</f>
        <v>900000</v>
      </c>
      <c r="J63" s="3" t="str">
        <f>INDEX('Data Mentah'!$F$2:$F$101,MATCH(Table1[[#This Row],[ID]],'Data Mentah'!$A$2:$A$101,0))</f>
        <v>Ya</v>
      </c>
      <c r="K63" s="3" t="str">
        <f>IF(AND(Table1[[#This Row],[Member]]="Ya",Table1[[#This Row],[Total Harga]]&gt;=1000000),"10%","0%")</f>
        <v>0%</v>
      </c>
      <c r="L63" s="11">
        <f>Table1[[#This Row],[Total Harga]]*Table1[[#This Row],[Status Diskon]]</f>
        <v>0</v>
      </c>
      <c r="M63" s="4">
        <f>Table1[[#This Row],[Total Harga]]-Table1[[#This Row],[Nominal Diskon]]</f>
        <v>900000</v>
      </c>
    </row>
    <row r="64" spans="1:13" x14ac:dyDescent="0.6">
      <c r="A64" s="2" t="s">
        <v>43</v>
      </c>
      <c r="B64" s="3" t="str">
        <f>PROPER(_xlfn.XLOOKUP(Table1[[#This Row],[ID]],'Data Mentah'!$A$2:$A$101,'Data Mentah'!$B$2:$B$101,"",0))</f>
        <v>Lina Marlina</v>
      </c>
      <c r="C64" s="3" t="str">
        <f>_xlfn.XLOOKUP(Table1[[#This Row],[ID]],'Data Mentah'!$A$2:$A$101,'Data Mentah'!$C$2:$C$101,"",0)</f>
        <v>P-01</v>
      </c>
      <c r="D64" s="3" t="str">
        <f>VLOOKUP(Table1[[#This Row],[Kode Produk]],'Tabel Referensi'!$A$2:$B$6,2,FALSE)</f>
        <v>Laptop Pro 14</v>
      </c>
      <c r="E64" s="10">
        <f>INDEX('Tabel Referensi'!$C$2:$C$6,MATCH(Table1[[#This Row],[Kode Produk]],'Tabel Referensi'!$A$2:$A$6,0))</f>
        <v>12500000</v>
      </c>
      <c r="F64" s="3" t="str">
        <f>INDEX('Tabel Referensi'!$D$2:$D$6,MATCH(Table1[[#This Row],[Kode Produk]],'Tabel Referensi'!$A$2:$A$6,0))</f>
        <v>Komputer</v>
      </c>
      <c r="G64" s="9">
        <f>_xlfn.XLOOKUP(Table1[[#This Row],[ID]],'Data Mentah'!$A$1:$A$101,'Data Mentah'!$D$1:$D$101,"",0)</f>
        <v>45400</v>
      </c>
      <c r="H64" s="3">
        <f>_xlfn.XLOOKUP(Table1[[#This Row],[ID]],'Data Mentah'!$A$1:$A$101,'Data Mentah'!$E$1:$E$101,"",0)</f>
        <v>1</v>
      </c>
      <c r="I64" s="10">
        <f>Table1[[#This Row],[Harga Satuan]]*Table1[[#This Row],[Quantity]]</f>
        <v>12500000</v>
      </c>
      <c r="J64" s="3" t="str">
        <f>INDEX('Data Mentah'!$F$2:$F$101,MATCH(Table1[[#This Row],[ID]],'Data Mentah'!$A$2:$A$101,0))</f>
        <v>Tidak</v>
      </c>
      <c r="K64" s="3" t="str">
        <f>IF(AND(Table1[[#This Row],[Member]]="Ya",Table1[[#This Row],[Total Harga]]&gt;=1000000),"10%","0%")</f>
        <v>0%</v>
      </c>
      <c r="L64" s="11">
        <f>Table1[[#This Row],[Total Harga]]*Table1[[#This Row],[Status Diskon]]</f>
        <v>0</v>
      </c>
      <c r="M64" s="4">
        <f>Table1[[#This Row],[Total Harga]]-Table1[[#This Row],[Nominal Diskon]]</f>
        <v>12500000</v>
      </c>
    </row>
    <row r="65" spans="1:13" x14ac:dyDescent="0.6">
      <c r="A65" s="2" t="s">
        <v>78</v>
      </c>
      <c r="B65" s="3" t="str">
        <f>PROPER(_xlfn.XLOOKUP(Table1[[#This Row],[ID]],'Data Mentah'!$A$2:$A$101,'Data Mentah'!$B$2:$B$101,"",0))</f>
        <v>Lina Marlina</v>
      </c>
      <c r="C65" s="3" t="str">
        <f>_xlfn.XLOOKUP(Table1[[#This Row],[ID]],'Data Mentah'!$A$2:$A$101,'Data Mentah'!$C$2:$C$101,"",0)</f>
        <v>P-02</v>
      </c>
      <c r="D65" s="3" t="str">
        <f>VLOOKUP(Table1[[#This Row],[Kode Produk]],'Tabel Referensi'!$A$2:$B$6,2,FALSE)</f>
        <v>Mouse Wireless</v>
      </c>
      <c r="E65" s="10">
        <f>INDEX('Tabel Referensi'!$C$2:$C$6,MATCH(Table1[[#This Row],[Kode Produk]],'Tabel Referensi'!$A$2:$A$6,0))</f>
        <v>150000</v>
      </c>
      <c r="F65" s="3" t="str">
        <f>INDEX('Tabel Referensi'!$D$2:$D$6,MATCH(Table1[[#This Row],[Kode Produk]],'Tabel Referensi'!$A$2:$A$6,0))</f>
        <v>Aksesoris</v>
      </c>
      <c r="G65" s="9">
        <f>_xlfn.XLOOKUP(Table1[[#This Row],[ID]],'Data Mentah'!$A$1:$A$101,'Data Mentah'!$D$1:$D$101,"",0)</f>
        <v>45402</v>
      </c>
      <c r="H65" s="3">
        <f>_xlfn.XLOOKUP(Table1[[#This Row],[ID]],'Data Mentah'!$A$1:$A$101,'Data Mentah'!$E$1:$E$101,"",0)</f>
        <v>4</v>
      </c>
      <c r="I65" s="10">
        <f>Table1[[#This Row],[Harga Satuan]]*Table1[[#This Row],[Quantity]]</f>
        <v>600000</v>
      </c>
      <c r="J65" s="3" t="str">
        <f>INDEX('Data Mentah'!$F$2:$F$101,MATCH(Table1[[#This Row],[ID]],'Data Mentah'!$A$2:$A$101,0))</f>
        <v>Tidak</v>
      </c>
      <c r="K65" s="3" t="str">
        <f>IF(AND(Table1[[#This Row],[Member]]="Ya",Table1[[#This Row],[Total Harga]]&gt;=1000000),"10%","0%")</f>
        <v>0%</v>
      </c>
      <c r="L65" s="11">
        <f>Table1[[#This Row],[Total Harga]]*Table1[[#This Row],[Status Diskon]]</f>
        <v>0</v>
      </c>
      <c r="M65" s="4">
        <f>Table1[[#This Row],[Total Harga]]-Table1[[#This Row],[Nominal Diskon]]</f>
        <v>600000</v>
      </c>
    </row>
    <row r="66" spans="1:13" x14ac:dyDescent="0.6">
      <c r="A66" s="2" t="s">
        <v>103</v>
      </c>
      <c r="B66" s="3" t="str">
        <f>PROPER(_xlfn.XLOOKUP(Table1[[#This Row],[ID]],'Data Mentah'!$A$2:$A$101,'Data Mentah'!$B$2:$B$101,"",0))</f>
        <v>Lina Marlina</v>
      </c>
      <c r="C66" s="3" t="str">
        <f>_xlfn.XLOOKUP(Table1[[#This Row],[ID]],'Data Mentah'!$A$2:$A$101,'Data Mentah'!$C$2:$C$101,"",0)</f>
        <v>P-03</v>
      </c>
      <c r="D66" s="3" t="str">
        <f>VLOOKUP(Table1[[#This Row],[Kode Produk]],'Tabel Referensi'!$A$2:$B$6,2,FALSE)</f>
        <v>Keyboard Mechanical</v>
      </c>
      <c r="E66" s="10">
        <f>INDEX('Tabel Referensi'!$C$2:$C$6,MATCH(Table1[[#This Row],[Kode Produk]],'Tabel Referensi'!$A$2:$A$6,0))</f>
        <v>450000</v>
      </c>
      <c r="F66" s="3" t="str">
        <f>INDEX('Tabel Referensi'!$D$2:$D$6,MATCH(Table1[[#This Row],[Kode Produk]],'Tabel Referensi'!$A$2:$A$6,0))</f>
        <v>Aksesoris</v>
      </c>
      <c r="G66" s="9">
        <f>_xlfn.XLOOKUP(Table1[[#This Row],[ID]],'Data Mentah'!$A$1:$A$101,'Data Mentah'!$D$1:$D$101,"",0)</f>
        <v>45407</v>
      </c>
      <c r="H66" s="3">
        <f>_xlfn.XLOOKUP(Table1[[#This Row],[ID]],'Data Mentah'!$A$1:$A$101,'Data Mentah'!$E$1:$E$101,"",0)</f>
        <v>1</v>
      </c>
      <c r="I66" s="10">
        <f>Table1[[#This Row],[Harga Satuan]]*Table1[[#This Row],[Quantity]]</f>
        <v>450000</v>
      </c>
      <c r="J66" s="3" t="str">
        <f>INDEX('Data Mentah'!$F$2:$F$101,MATCH(Table1[[#This Row],[ID]],'Data Mentah'!$A$2:$A$101,0))</f>
        <v>Tidak</v>
      </c>
      <c r="K66" s="3" t="str">
        <f>IF(AND(Table1[[#This Row],[Member]]="Ya",Table1[[#This Row],[Total Harga]]&gt;=1000000),"10%","0%")</f>
        <v>0%</v>
      </c>
      <c r="L66" s="11">
        <f>Table1[[#This Row],[Total Harga]]*Table1[[#This Row],[Status Diskon]]</f>
        <v>0</v>
      </c>
      <c r="M66" s="4">
        <f>Table1[[#This Row],[Total Harga]]-Table1[[#This Row],[Nominal Diskon]]</f>
        <v>450000</v>
      </c>
    </row>
    <row r="67" spans="1:13" x14ac:dyDescent="0.6">
      <c r="A67" s="2" t="s">
        <v>128</v>
      </c>
      <c r="B67" s="3" t="str">
        <f>PROPER(_xlfn.XLOOKUP(Table1[[#This Row],[ID]],'Data Mentah'!$A$2:$A$101,'Data Mentah'!$B$2:$B$101,"",0))</f>
        <v>Lina Marlina</v>
      </c>
      <c r="C67" s="3" t="str">
        <f>_xlfn.XLOOKUP(Table1[[#This Row],[ID]],'Data Mentah'!$A$2:$A$101,'Data Mentah'!$C$2:$C$101,"",0)</f>
        <v>P-04</v>
      </c>
      <c r="D67" s="3" t="str">
        <f>VLOOKUP(Table1[[#This Row],[Kode Produk]],'Tabel Referensi'!$A$2:$B$6,2,FALSE)</f>
        <v>Monitor 27 Inch</v>
      </c>
      <c r="E67" s="10">
        <f>INDEX('Tabel Referensi'!$C$2:$C$6,MATCH(Table1[[#This Row],[Kode Produk]],'Tabel Referensi'!$A$2:$A$6,0))</f>
        <v>2100000</v>
      </c>
      <c r="F67" s="3" t="str">
        <f>INDEX('Tabel Referensi'!$D$2:$D$6,MATCH(Table1[[#This Row],[Kode Produk]],'Tabel Referensi'!$A$2:$A$6,0))</f>
        <v>Komputer</v>
      </c>
      <c r="G67" s="9">
        <f>_xlfn.XLOOKUP(Table1[[#This Row],[ID]],'Data Mentah'!$A$1:$A$101,'Data Mentah'!$D$1:$D$101,"",0)</f>
        <v>45410</v>
      </c>
      <c r="H67" s="3">
        <f>_xlfn.XLOOKUP(Table1[[#This Row],[ID]],'Data Mentah'!$A$1:$A$101,'Data Mentah'!$E$1:$E$101,"",0)</f>
        <v>1</v>
      </c>
      <c r="I67" s="10">
        <f>Table1[[#This Row],[Harga Satuan]]*Table1[[#This Row],[Quantity]]</f>
        <v>2100000</v>
      </c>
      <c r="J67" s="3" t="str">
        <f>INDEX('Data Mentah'!$F$2:$F$101,MATCH(Table1[[#This Row],[ID]],'Data Mentah'!$A$2:$A$101,0))</f>
        <v>Tidak</v>
      </c>
      <c r="K67" s="3" t="str">
        <f>IF(AND(Table1[[#This Row],[Member]]="Ya",Table1[[#This Row],[Total Harga]]&gt;=1000000),"10%","0%")</f>
        <v>0%</v>
      </c>
      <c r="L67" s="11">
        <f>Table1[[#This Row],[Total Harga]]*Table1[[#This Row],[Status Diskon]]</f>
        <v>0</v>
      </c>
      <c r="M67" s="4">
        <f>Table1[[#This Row],[Total Harga]]-Table1[[#This Row],[Nominal Diskon]]</f>
        <v>2100000</v>
      </c>
    </row>
    <row r="68" spans="1:13" x14ac:dyDescent="0.6">
      <c r="A68" s="2" t="s">
        <v>45</v>
      </c>
      <c r="B68" s="3" t="str">
        <f>PROPER(_xlfn.XLOOKUP(Table1[[#This Row],[ID]],'Data Mentah'!$A$2:$A$101,'Data Mentah'!$B$2:$B$101,"",0))</f>
        <v>Maman Abdurrahman</v>
      </c>
      <c r="C68" s="3" t="str">
        <f>_xlfn.XLOOKUP(Table1[[#This Row],[ID]],'Data Mentah'!$A$2:$A$101,'Data Mentah'!$C$2:$C$101,"",0)</f>
        <v>P-02</v>
      </c>
      <c r="D68" s="3" t="str">
        <f>VLOOKUP(Table1[[#This Row],[Kode Produk]],'Tabel Referensi'!$A$2:$B$6,2,FALSE)</f>
        <v>Mouse Wireless</v>
      </c>
      <c r="E68" s="10">
        <f>INDEX('Tabel Referensi'!$C$2:$C$6,MATCH(Table1[[#This Row],[Kode Produk]],'Tabel Referensi'!$A$2:$A$6,0))</f>
        <v>150000</v>
      </c>
      <c r="F68" s="3" t="str">
        <f>INDEX('Tabel Referensi'!$D$2:$D$6,MATCH(Table1[[#This Row],[Kode Produk]],'Tabel Referensi'!$A$2:$A$6,0))</f>
        <v>Aksesoris</v>
      </c>
      <c r="G68" s="9">
        <f>_xlfn.XLOOKUP(Table1[[#This Row],[ID]],'Data Mentah'!$A$1:$A$101,'Data Mentah'!$D$1:$D$101,"",0)</f>
        <v>45434</v>
      </c>
      <c r="H68" s="3">
        <f>_xlfn.XLOOKUP(Table1[[#This Row],[ID]],'Data Mentah'!$A$1:$A$101,'Data Mentah'!$E$1:$E$101,"",0)</f>
        <v>2</v>
      </c>
      <c r="I68" s="10">
        <f>Table1[[#This Row],[Harga Satuan]]*Table1[[#This Row],[Quantity]]</f>
        <v>300000</v>
      </c>
      <c r="J68" s="3" t="str">
        <f>INDEX('Data Mentah'!$F$2:$F$101,MATCH(Table1[[#This Row],[ID]],'Data Mentah'!$A$2:$A$101,0))</f>
        <v>Ya</v>
      </c>
      <c r="K68" s="3" t="str">
        <f>IF(AND(Table1[[#This Row],[Member]]="Ya",Table1[[#This Row],[Total Harga]]&gt;=1000000),"10%","0%")</f>
        <v>0%</v>
      </c>
      <c r="L68" s="11">
        <f>Table1[[#This Row],[Total Harga]]*Table1[[#This Row],[Status Diskon]]</f>
        <v>0</v>
      </c>
      <c r="M68" s="4">
        <f>Table1[[#This Row],[Total Harga]]-Table1[[#This Row],[Nominal Diskon]]</f>
        <v>300000</v>
      </c>
    </row>
    <row r="69" spans="1:13" x14ac:dyDescent="0.6">
      <c r="A69" s="2" t="s">
        <v>79</v>
      </c>
      <c r="B69" s="3" t="str">
        <f>PROPER(_xlfn.XLOOKUP(Table1[[#This Row],[ID]],'Data Mentah'!$A$2:$A$101,'Data Mentah'!$B$2:$B$101,"",0))</f>
        <v>Maman Abdurrahman</v>
      </c>
      <c r="C69" s="3" t="str">
        <f>_xlfn.XLOOKUP(Table1[[#This Row],[ID]],'Data Mentah'!$A$2:$A$101,'Data Mentah'!$C$2:$C$101,"",0)</f>
        <v>P-03</v>
      </c>
      <c r="D69" s="3" t="str">
        <f>VLOOKUP(Table1[[#This Row],[Kode Produk]],'Tabel Referensi'!$A$2:$B$6,2,FALSE)</f>
        <v>Keyboard Mechanical</v>
      </c>
      <c r="E69" s="10">
        <f>INDEX('Tabel Referensi'!$C$2:$C$6,MATCH(Table1[[#This Row],[Kode Produk]],'Tabel Referensi'!$A$2:$A$6,0))</f>
        <v>450000</v>
      </c>
      <c r="F69" s="3" t="str">
        <f>INDEX('Tabel Referensi'!$D$2:$D$6,MATCH(Table1[[#This Row],[Kode Produk]],'Tabel Referensi'!$A$2:$A$6,0))</f>
        <v>Aksesoris</v>
      </c>
      <c r="G69" s="9">
        <f>_xlfn.XLOOKUP(Table1[[#This Row],[ID]],'Data Mentah'!$A$1:$A$101,'Data Mentah'!$D$1:$D$101,"",0)</f>
        <v>45437</v>
      </c>
      <c r="H69" s="3">
        <f>_xlfn.XLOOKUP(Table1[[#This Row],[ID]],'Data Mentah'!$A$1:$A$101,'Data Mentah'!$E$1:$E$101,"",0)</f>
        <v>1</v>
      </c>
      <c r="I69" s="10">
        <f>Table1[[#This Row],[Harga Satuan]]*Table1[[#This Row],[Quantity]]</f>
        <v>450000</v>
      </c>
      <c r="J69" s="3" t="str">
        <f>INDEX('Data Mentah'!$F$2:$F$101,MATCH(Table1[[#This Row],[ID]],'Data Mentah'!$A$2:$A$101,0))</f>
        <v>Ya</v>
      </c>
      <c r="K69" s="3" t="str">
        <f>IF(AND(Table1[[#This Row],[Member]]="Ya",Table1[[#This Row],[Total Harga]]&gt;=1000000),"10%","0%")</f>
        <v>0%</v>
      </c>
      <c r="L69" s="11">
        <f>Table1[[#This Row],[Total Harga]]*Table1[[#This Row],[Status Diskon]]</f>
        <v>0</v>
      </c>
      <c r="M69" s="4">
        <f>Table1[[#This Row],[Total Harga]]-Table1[[#This Row],[Nominal Diskon]]</f>
        <v>450000</v>
      </c>
    </row>
    <row r="70" spans="1:13" x14ac:dyDescent="0.6">
      <c r="A70" s="2" t="s">
        <v>104</v>
      </c>
      <c r="B70" s="3" t="str">
        <f>PROPER(_xlfn.XLOOKUP(Table1[[#This Row],[ID]],'Data Mentah'!$A$2:$A$101,'Data Mentah'!$B$2:$B$101,"",0))</f>
        <v>Maman Abdurrahman</v>
      </c>
      <c r="C70" s="3" t="str">
        <f>_xlfn.XLOOKUP(Table1[[#This Row],[ID]],'Data Mentah'!$A$2:$A$101,'Data Mentah'!$C$2:$C$101,"",0)</f>
        <v>P-04</v>
      </c>
      <c r="D70" s="3" t="str">
        <f>VLOOKUP(Table1[[#This Row],[Kode Produk]],'Tabel Referensi'!$A$2:$B$6,2,FALSE)</f>
        <v>Monitor 27 Inch</v>
      </c>
      <c r="E70" s="10">
        <f>INDEX('Tabel Referensi'!$C$2:$C$6,MATCH(Table1[[#This Row],[Kode Produk]],'Tabel Referensi'!$A$2:$A$6,0))</f>
        <v>2100000</v>
      </c>
      <c r="F70" s="3" t="str">
        <f>INDEX('Tabel Referensi'!$D$2:$D$6,MATCH(Table1[[#This Row],[Kode Produk]],'Tabel Referensi'!$A$2:$A$6,0))</f>
        <v>Komputer</v>
      </c>
      <c r="G70" s="9">
        <f>_xlfn.XLOOKUP(Table1[[#This Row],[ID]],'Data Mentah'!$A$1:$A$101,'Data Mentah'!$D$1:$D$101,"",0)</f>
        <v>45440</v>
      </c>
      <c r="H70" s="3">
        <f>_xlfn.XLOOKUP(Table1[[#This Row],[ID]],'Data Mentah'!$A$1:$A$101,'Data Mentah'!$E$1:$E$101,"",0)</f>
        <v>2</v>
      </c>
      <c r="I70" s="10">
        <f>Table1[[#This Row],[Harga Satuan]]*Table1[[#This Row],[Quantity]]</f>
        <v>4200000</v>
      </c>
      <c r="J70" s="3" t="str">
        <f>INDEX('Data Mentah'!$F$2:$F$101,MATCH(Table1[[#This Row],[ID]],'Data Mentah'!$A$2:$A$101,0))</f>
        <v>Ya</v>
      </c>
      <c r="K70" s="3" t="str">
        <f>IF(AND(Table1[[#This Row],[Member]]="Ya",Table1[[#This Row],[Total Harga]]&gt;=1000000),"10%","0%")</f>
        <v>10%</v>
      </c>
      <c r="L70" s="11">
        <f>Table1[[#This Row],[Total Harga]]*Table1[[#This Row],[Status Diskon]]</f>
        <v>420000</v>
      </c>
      <c r="M70" s="4">
        <f>Table1[[#This Row],[Total Harga]]-Table1[[#This Row],[Nominal Diskon]]</f>
        <v>3780000</v>
      </c>
    </row>
    <row r="71" spans="1:13" x14ac:dyDescent="0.6">
      <c r="A71" s="2" t="s">
        <v>129</v>
      </c>
      <c r="B71" s="3" t="str">
        <f>PROPER(_xlfn.XLOOKUP(Table1[[#This Row],[ID]],'Data Mentah'!$A$2:$A$101,'Data Mentah'!$B$2:$B$101,"",0))</f>
        <v>Maman Abdurrahman</v>
      </c>
      <c r="C71" s="3" t="str">
        <f>_xlfn.XLOOKUP(Table1[[#This Row],[ID]],'Data Mentah'!$A$2:$A$101,'Data Mentah'!$C$2:$C$101,"",0)</f>
        <v>P-05</v>
      </c>
      <c r="D71" s="3" t="str">
        <f>VLOOKUP(Table1[[#This Row],[Kode Produk]],'Tabel Referensi'!$A$2:$B$6,2,FALSE)</f>
        <v>Flashdisk 64GB</v>
      </c>
      <c r="E71" s="10">
        <f>INDEX('Tabel Referensi'!$C$2:$C$6,MATCH(Table1[[#This Row],[Kode Produk]],'Tabel Referensi'!$A$2:$A$6,0))</f>
        <v>95000</v>
      </c>
      <c r="F71" s="3" t="str">
        <f>INDEX('Tabel Referensi'!$D$2:$D$6,MATCH(Table1[[#This Row],[Kode Produk]],'Tabel Referensi'!$A$2:$A$6,0))</f>
        <v>Aksesoris</v>
      </c>
      <c r="G71" s="9">
        <f>_xlfn.XLOOKUP(Table1[[#This Row],[ID]],'Data Mentah'!$A$1:$A$101,'Data Mentah'!$D$1:$D$101,"",0)</f>
        <v>45442</v>
      </c>
      <c r="H71" s="3">
        <f>_xlfn.XLOOKUP(Table1[[#This Row],[ID]],'Data Mentah'!$A$1:$A$101,'Data Mentah'!$E$1:$E$101,"",0)</f>
        <v>6</v>
      </c>
      <c r="I71" s="10">
        <f>Table1[[#This Row],[Harga Satuan]]*Table1[[#This Row],[Quantity]]</f>
        <v>570000</v>
      </c>
      <c r="J71" s="3" t="str">
        <f>INDEX('Data Mentah'!$F$2:$F$101,MATCH(Table1[[#This Row],[ID]],'Data Mentah'!$A$2:$A$101,0))</f>
        <v>Ya</v>
      </c>
      <c r="K71" s="3" t="str">
        <f>IF(AND(Table1[[#This Row],[Member]]="Ya",Table1[[#This Row],[Total Harga]]&gt;=1000000),"10%","0%")</f>
        <v>0%</v>
      </c>
      <c r="L71" s="11">
        <f>Table1[[#This Row],[Total Harga]]*Table1[[#This Row],[Status Diskon]]</f>
        <v>0</v>
      </c>
      <c r="M71" s="4">
        <f>Table1[[#This Row],[Total Harga]]-Table1[[#This Row],[Nominal Diskon]]</f>
        <v>570000</v>
      </c>
    </row>
    <row r="72" spans="1:13" x14ac:dyDescent="0.6">
      <c r="A72" s="2" t="s">
        <v>47</v>
      </c>
      <c r="B72" s="3" t="str">
        <f>PROPER(_xlfn.XLOOKUP(Table1[[#This Row],[ID]],'Data Mentah'!$A$2:$A$101,'Data Mentah'!$B$2:$B$101,"",0))</f>
        <v>Nanda Saputra</v>
      </c>
      <c r="C72" s="3" t="str">
        <f>_xlfn.XLOOKUP(Table1[[#This Row],[ID]],'Data Mentah'!$A$2:$A$101,'Data Mentah'!$C$2:$C$101,"",0)</f>
        <v>P-03</v>
      </c>
      <c r="D72" s="3" t="str">
        <f>VLOOKUP(Table1[[#This Row],[Kode Produk]],'Tabel Referensi'!$A$2:$B$6,2,FALSE)</f>
        <v>Keyboard Mechanical</v>
      </c>
      <c r="E72" s="10">
        <f>INDEX('Tabel Referensi'!$C$2:$C$6,MATCH(Table1[[#This Row],[Kode Produk]],'Tabel Referensi'!$A$2:$A$6,0))</f>
        <v>450000</v>
      </c>
      <c r="F72" s="3" t="str">
        <f>INDEX('Tabel Referensi'!$D$2:$D$6,MATCH(Table1[[#This Row],[Kode Produk]],'Tabel Referensi'!$A$2:$A$6,0))</f>
        <v>Aksesoris</v>
      </c>
      <c r="G72" s="9">
        <f>_xlfn.XLOOKUP(Table1[[#This Row],[ID]],'Data Mentah'!$A$1:$A$101,'Data Mentah'!$D$1:$D$101,"",0)</f>
        <v>45450</v>
      </c>
      <c r="H72" s="3">
        <f>_xlfn.XLOOKUP(Table1[[#This Row],[ID]],'Data Mentah'!$A$1:$A$101,'Data Mentah'!$E$1:$E$101,"",0)</f>
        <v>1</v>
      </c>
      <c r="I72" s="10">
        <f>Table1[[#This Row],[Harga Satuan]]*Table1[[#This Row],[Quantity]]</f>
        <v>450000</v>
      </c>
      <c r="J72" s="3" t="str">
        <f>INDEX('Data Mentah'!$F$2:$F$101,MATCH(Table1[[#This Row],[ID]],'Data Mentah'!$A$2:$A$101,0))</f>
        <v>Tidak</v>
      </c>
      <c r="K72" s="3" t="str">
        <f>IF(AND(Table1[[#This Row],[Member]]="Ya",Table1[[#This Row],[Total Harga]]&gt;=1000000),"10%","0%")</f>
        <v>0%</v>
      </c>
      <c r="L72" s="11">
        <f>Table1[[#This Row],[Total Harga]]*Table1[[#This Row],[Status Diskon]]</f>
        <v>0</v>
      </c>
      <c r="M72" s="4">
        <f>Table1[[#This Row],[Total Harga]]-Table1[[#This Row],[Nominal Diskon]]</f>
        <v>450000</v>
      </c>
    </row>
    <row r="73" spans="1:13" x14ac:dyDescent="0.6">
      <c r="A73" s="2" t="s">
        <v>80</v>
      </c>
      <c r="B73" s="3" t="str">
        <f>PROPER(_xlfn.XLOOKUP(Table1[[#This Row],[ID]],'Data Mentah'!$A$2:$A$101,'Data Mentah'!$B$2:$B$101,"",0))</f>
        <v>Nanda Saputra</v>
      </c>
      <c r="C73" s="3" t="str">
        <f>_xlfn.XLOOKUP(Table1[[#This Row],[ID]],'Data Mentah'!$A$2:$A$101,'Data Mentah'!$C$2:$C$101,"",0)</f>
        <v>P-04</v>
      </c>
      <c r="D73" s="3" t="str">
        <f>VLOOKUP(Table1[[#This Row],[Kode Produk]],'Tabel Referensi'!$A$2:$B$6,2,FALSE)</f>
        <v>Monitor 27 Inch</v>
      </c>
      <c r="E73" s="10">
        <f>INDEX('Tabel Referensi'!$C$2:$C$6,MATCH(Table1[[#This Row],[Kode Produk]],'Tabel Referensi'!$A$2:$A$6,0))</f>
        <v>2100000</v>
      </c>
      <c r="F73" s="3" t="str">
        <f>INDEX('Tabel Referensi'!$D$2:$D$6,MATCH(Table1[[#This Row],[Kode Produk]],'Tabel Referensi'!$A$2:$A$6,0))</f>
        <v>Komputer</v>
      </c>
      <c r="G73" s="9">
        <f>_xlfn.XLOOKUP(Table1[[#This Row],[ID]],'Data Mentah'!$A$1:$A$101,'Data Mentah'!$D$1:$D$101,"",0)</f>
        <v>45453</v>
      </c>
      <c r="H73" s="3">
        <f>_xlfn.XLOOKUP(Table1[[#This Row],[ID]],'Data Mentah'!$A$1:$A$101,'Data Mentah'!$E$1:$E$101,"",0)</f>
        <v>2</v>
      </c>
      <c r="I73" s="10">
        <f>Table1[[#This Row],[Harga Satuan]]*Table1[[#This Row],[Quantity]]</f>
        <v>4200000</v>
      </c>
      <c r="J73" s="3" t="str">
        <f>INDEX('Data Mentah'!$F$2:$F$101,MATCH(Table1[[#This Row],[ID]],'Data Mentah'!$A$2:$A$101,0))</f>
        <v>Tidak</v>
      </c>
      <c r="K73" s="3" t="str">
        <f>IF(AND(Table1[[#This Row],[Member]]="Ya",Table1[[#This Row],[Total Harga]]&gt;=1000000),"10%","0%")</f>
        <v>0%</v>
      </c>
      <c r="L73" s="11">
        <f>Table1[[#This Row],[Total Harga]]*Table1[[#This Row],[Status Diskon]]</f>
        <v>0</v>
      </c>
      <c r="M73" s="4">
        <f>Table1[[#This Row],[Total Harga]]-Table1[[#This Row],[Nominal Diskon]]</f>
        <v>4200000</v>
      </c>
    </row>
    <row r="74" spans="1:13" x14ac:dyDescent="0.6">
      <c r="A74" s="2" t="s">
        <v>105</v>
      </c>
      <c r="B74" s="3" t="str">
        <f>PROPER(_xlfn.XLOOKUP(Table1[[#This Row],[ID]],'Data Mentah'!$A$2:$A$101,'Data Mentah'!$B$2:$B$101,"",0))</f>
        <v>Nanda Saputra</v>
      </c>
      <c r="C74" s="3" t="str">
        <f>_xlfn.XLOOKUP(Table1[[#This Row],[ID]],'Data Mentah'!$A$2:$A$101,'Data Mentah'!$C$2:$C$101,"",0)</f>
        <v>P-05</v>
      </c>
      <c r="D74" s="3" t="str">
        <f>VLOOKUP(Table1[[#This Row],[Kode Produk]],'Tabel Referensi'!$A$2:$B$6,2,FALSE)</f>
        <v>Flashdisk 64GB</v>
      </c>
      <c r="E74" s="10">
        <f>INDEX('Tabel Referensi'!$C$2:$C$6,MATCH(Table1[[#This Row],[Kode Produk]],'Tabel Referensi'!$A$2:$A$6,0))</f>
        <v>95000</v>
      </c>
      <c r="F74" s="3" t="str">
        <f>INDEX('Tabel Referensi'!$D$2:$D$6,MATCH(Table1[[#This Row],[Kode Produk]],'Tabel Referensi'!$A$2:$A$6,0))</f>
        <v>Aksesoris</v>
      </c>
      <c r="G74" s="9">
        <f>_xlfn.XLOOKUP(Table1[[#This Row],[ID]],'Data Mentah'!$A$1:$A$101,'Data Mentah'!$D$1:$D$101,"",0)</f>
        <v>45458</v>
      </c>
      <c r="H74" s="3">
        <f>_xlfn.XLOOKUP(Table1[[#This Row],[ID]],'Data Mentah'!$A$1:$A$101,'Data Mentah'!$E$1:$E$101,"",0)</f>
        <v>4</v>
      </c>
      <c r="I74" s="10">
        <f>Table1[[#This Row],[Harga Satuan]]*Table1[[#This Row],[Quantity]]</f>
        <v>380000</v>
      </c>
      <c r="J74" s="3" t="str">
        <f>INDEX('Data Mentah'!$F$2:$F$101,MATCH(Table1[[#This Row],[ID]],'Data Mentah'!$A$2:$A$101,0))</f>
        <v>Tidak</v>
      </c>
      <c r="K74" s="3" t="str">
        <f>IF(AND(Table1[[#This Row],[Member]]="Ya",Table1[[#This Row],[Total Harga]]&gt;=1000000),"10%","0%")</f>
        <v>0%</v>
      </c>
      <c r="L74" s="11">
        <f>Table1[[#This Row],[Total Harga]]*Table1[[#This Row],[Status Diskon]]</f>
        <v>0</v>
      </c>
      <c r="M74" s="4">
        <f>Table1[[#This Row],[Total Harga]]-Table1[[#This Row],[Nominal Diskon]]</f>
        <v>380000</v>
      </c>
    </row>
    <row r="75" spans="1:13" x14ac:dyDescent="0.6">
      <c r="A75" s="2" t="s">
        <v>130</v>
      </c>
      <c r="B75" s="3" t="str">
        <f>PROPER(_xlfn.XLOOKUP(Table1[[#This Row],[ID]],'Data Mentah'!$A$2:$A$101,'Data Mentah'!$B$2:$B$101,"",0))</f>
        <v>Nanda Saputra</v>
      </c>
      <c r="C75" s="3" t="str">
        <f>_xlfn.XLOOKUP(Table1[[#This Row],[ID]],'Data Mentah'!$A$2:$A$101,'Data Mentah'!$C$2:$C$101,"",0)</f>
        <v>P-01</v>
      </c>
      <c r="D75" s="3" t="str">
        <f>VLOOKUP(Table1[[#This Row],[Kode Produk]],'Tabel Referensi'!$A$2:$B$6,2,FALSE)</f>
        <v>Laptop Pro 14</v>
      </c>
      <c r="E75" s="10">
        <f>INDEX('Tabel Referensi'!$C$2:$C$6,MATCH(Table1[[#This Row],[Kode Produk]],'Tabel Referensi'!$A$2:$A$6,0))</f>
        <v>12500000</v>
      </c>
      <c r="F75" s="3" t="str">
        <f>INDEX('Tabel Referensi'!$D$2:$D$6,MATCH(Table1[[#This Row],[Kode Produk]],'Tabel Referensi'!$A$2:$A$6,0))</f>
        <v>Komputer</v>
      </c>
      <c r="G75" s="9">
        <f>_xlfn.XLOOKUP(Table1[[#This Row],[ID]],'Data Mentah'!$A$1:$A$101,'Data Mentah'!$D$1:$D$101,"",0)</f>
        <v>45463</v>
      </c>
      <c r="H75" s="3">
        <f>_xlfn.XLOOKUP(Table1[[#This Row],[ID]],'Data Mentah'!$A$1:$A$101,'Data Mentah'!$E$1:$E$101,"",0)</f>
        <v>1</v>
      </c>
      <c r="I75" s="10">
        <f>Table1[[#This Row],[Harga Satuan]]*Table1[[#This Row],[Quantity]]</f>
        <v>12500000</v>
      </c>
      <c r="J75" s="3" t="str">
        <f>INDEX('Data Mentah'!$F$2:$F$101,MATCH(Table1[[#This Row],[ID]],'Data Mentah'!$A$2:$A$101,0))</f>
        <v>Tidak</v>
      </c>
      <c r="K75" s="3" t="str">
        <f>IF(AND(Table1[[#This Row],[Member]]="Ya",Table1[[#This Row],[Total Harga]]&gt;=1000000),"10%","0%")</f>
        <v>0%</v>
      </c>
      <c r="L75" s="11">
        <f>Table1[[#This Row],[Total Harga]]*Table1[[#This Row],[Status Diskon]]</f>
        <v>0</v>
      </c>
      <c r="M75" s="4">
        <f>Table1[[#This Row],[Total Harga]]-Table1[[#This Row],[Nominal Diskon]]</f>
        <v>12500000</v>
      </c>
    </row>
    <row r="76" spans="1:13" x14ac:dyDescent="0.6">
      <c r="A76" s="2" t="s">
        <v>49</v>
      </c>
      <c r="B76" s="3" t="str">
        <f>PROPER(_xlfn.XLOOKUP(Table1[[#This Row],[ID]],'Data Mentah'!$A$2:$A$101,'Data Mentah'!$B$2:$B$101,"",0))</f>
        <v>Oki Setiana</v>
      </c>
      <c r="C76" s="3" t="str">
        <f>_xlfn.XLOOKUP(Table1[[#This Row],[ID]],'Data Mentah'!$A$2:$A$101,'Data Mentah'!$C$2:$C$101,"",0)</f>
        <v>P-04</v>
      </c>
      <c r="D76" s="3" t="str">
        <f>VLOOKUP(Table1[[#This Row],[Kode Produk]],'Tabel Referensi'!$A$2:$B$6,2,FALSE)</f>
        <v>Monitor 27 Inch</v>
      </c>
      <c r="E76" s="10">
        <f>INDEX('Tabel Referensi'!$C$2:$C$6,MATCH(Table1[[#This Row],[Kode Produk]],'Tabel Referensi'!$A$2:$A$6,0))</f>
        <v>2100000</v>
      </c>
      <c r="F76" s="3" t="str">
        <f>INDEX('Tabel Referensi'!$D$2:$D$6,MATCH(Table1[[#This Row],[Kode Produk]],'Tabel Referensi'!$A$2:$A$6,0))</f>
        <v>Komputer</v>
      </c>
      <c r="G76" s="9">
        <f>_xlfn.XLOOKUP(Table1[[#This Row],[ID]],'Data Mentah'!$A$1:$A$101,'Data Mentah'!$D$1:$D$101,"",0)</f>
        <v>45492</v>
      </c>
      <c r="H76" s="3">
        <f>_xlfn.XLOOKUP(Table1[[#This Row],[ID]],'Data Mentah'!$A$1:$A$101,'Data Mentah'!$E$1:$E$101,"",0)</f>
        <v>4</v>
      </c>
      <c r="I76" s="10">
        <f>Table1[[#This Row],[Harga Satuan]]*Table1[[#This Row],[Quantity]]</f>
        <v>8400000</v>
      </c>
      <c r="J76" s="3" t="str">
        <f>INDEX('Data Mentah'!$F$2:$F$101,MATCH(Table1[[#This Row],[ID]],'Data Mentah'!$A$2:$A$101,0))</f>
        <v>Ya</v>
      </c>
      <c r="K76" s="3" t="str">
        <f>IF(AND(Table1[[#This Row],[Member]]="Ya",Table1[[#This Row],[Total Harga]]&gt;=1000000),"10%","0%")</f>
        <v>10%</v>
      </c>
      <c r="L76" s="11">
        <f>Table1[[#This Row],[Total Harga]]*Table1[[#This Row],[Status Diskon]]</f>
        <v>840000</v>
      </c>
      <c r="M76" s="4">
        <f>Table1[[#This Row],[Total Harga]]-Table1[[#This Row],[Nominal Diskon]]</f>
        <v>7560000</v>
      </c>
    </row>
    <row r="77" spans="1:13" x14ac:dyDescent="0.6">
      <c r="A77" s="2" t="s">
        <v>81</v>
      </c>
      <c r="B77" s="3" t="str">
        <f>PROPER(_xlfn.XLOOKUP(Table1[[#This Row],[ID]],'Data Mentah'!$A$2:$A$101,'Data Mentah'!$B$2:$B$101,"",0))</f>
        <v>Oki Setiana</v>
      </c>
      <c r="C77" s="3" t="str">
        <f>_xlfn.XLOOKUP(Table1[[#This Row],[ID]],'Data Mentah'!$A$2:$A$101,'Data Mentah'!$C$2:$C$101,"",0)</f>
        <v>P-05</v>
      </c>
      <c r="D77" s="3" t="str">
        <f>VLOOKUP(Table1[[#This Row],[Kode Produk]],'Tabel Referensi'!$A$2:$B$6,2,FALSE)</f>
        <v>Flashdisk 64GB</v>
      </c>
      <c r="E77" s="10">
        <f>INDEX('Tabel Referensi'!$C$2:$C$6,MATCH(Table1[[#This Row],[Kode Produk]],'Tabel Referensi'!$A$2:$A$6,0))</f>
        <v>95000</v>
      </c>
      <c r="F77" s="3" t="str">
        <f>INDEX('Tabel Referensi'!$D$2:$D$6,MATCH(Table1[[#This Row],[Kode Produk]],'Tabel Referensi'!$A$2:$A$6,0))</f>
        <v>Aksesoris</v>
      </c>
      <c r="G77" s="9">
        <f>_xlfn.XLOOKUP(Table1[[#This Row],[ID]],'Data Mentah'!$A$1:$A$101,'Data Mentah'!$D$1:$D$101,"",0)</f>
        <v>45495</v>
      </c>
      <c r="H77" s="3">
        <f>_xlfn.XLOOKUP(Table1[[#This Row],[ID]],'Data Mentah'!$A$1:$A$101,'Data Mentah'!$E$1:$E$101,"",0)</f>
        <v>3</v>
      </c>
      <c r="I77" s="10">
        <f>Table1[[#This Row],[Harga Satuan]]*Table1[[#This Row],[Quantity]]</f>
        <v>285000</v>
      </c>
      <c r="J77" s="3" t="str">
        <f>INDEX('Data Mentah'!$F$2:$F$101,MATCH(Table1[[#This Row],[ID]],'Data Mentah'!$A$2:$A$101,0))</f>
        <v>Ya</v>
      </c>
      <c r="K77" s="3" t="str">
        <f>IF(AND(Table1[[#This Row],[Member]]="Ya",Table1[[#This Row],[Total Harga]]&gt;=1000000),"10%","0%")</f>
        <v>0%</v>
      </c>
      <c r="L77" s="11">
        <f>Table1[[#This Row],[Total Harga]]*Table1[[#This Row],[Status Diskon]]</f>
        <v>0</v>
      </c>
      <c r="M77" s="4">
        <f>Table1[[#This Row],[Total Harga]]-Table1[[#This Row],[Nominal Diskon]]</f>
        <v>285000</v>
      </c>
    </row>
    <row r="78" spans="1:13" x14ac:dyDescent="0.6">
      <c r="A78" s="2" t="s">
        <v>106</v>
      </c>
      <c r="B78" s="3" t="str">
        <f>PROPER(_xlfn.XLOOKUP(Table1[[#This Row],[ID]],'Data Mentah'!$A$2:$A$101,'Data Mentah'!$B$2:$B$101,"",0))</f>
        <v>Oki Setiana</v>
      </c>
      <c r="C78" s="3" t="str">
        <f>_xlfn.XLOOKUP(Table1[[#This Row],[ID]],'Data Mentah'!$A$2:$A$101,'Data Mentah'!$C$2:$C$101,"",0)</f>
        <v>P-01</v>
      </c>
      <c r="D78" s="3" t="str">
        <f>VLOOKUP(Table1[[#This Row],[Kode Produk]],'Tabel Referensi'!$A$2:$B$6,2,FALSE)</f>
        <v>Laptop Pro 14</v>
      </c>
      <c r="E78" s="10">
        <f>INDEX('Tabel Referensi'!$C$2:$C$6,MATCH(Table1[[#This Row],[Kode Produk]],'Tabel Referensi'!$A$2:$A$6,0))</f>
        <v>12500000</v>
      </c>
      <c r="F78" s="3" t="str">
        <f>INDEX('Tabel Referensi'!$D$2:$D$6,MATCH(Table1[[#This Row],[Kode Produk]],'Tabel Referensi'!$A$2:$A$6,0))</f>
        <v>Komputer</v>
      </c>
      <c r="G78" s="9">
        <f>_xlfn.XLOOKUP(Table1[[#This Row],[ID]],'Data Mentah'!$A$1:$A$101,'Data Mentah'!$D$1:$D$101,"",0)</f>
        <v>45498</v>
      </c>
      <c r="H78" s="3">
        <f>_xlfn.XLOOKUP(Table1[[#This Row],[ID]],'Data Mentah'!$A$1:$A$101,'Data Mentah'!$E$1:$E$101,"",0)</f>
        <v>1</v>
      </c>
      <c r="I78" s="10">
        <f>Table1[[#This Row],[Harga Satuan]]*Table1[[#This Row],[Quantity]]</f>
        <v>12500000</v>
      </c>
      <c r="J78" s="3" t="str">
        <f>INDEX('Data Mentah'!$F$2:$F$101,MATCH(Table1[[#This Row],[ID]],'Data Mentah'!$A$2:$A$101,0))</f>
        <v>Ya</v>
      </c>
      <c r="K78" s="3" t="str">
        <f>IF(AND(Table1[[#This Row],[Member]]="Ya",Table1[[#This Row],[Total Harga]]&gt;=1000000),"10%","0%")</f>
        <v>10%</v>
      </c>
      <c r="L78" s="11">
        <f>Table1[[#This Row],[Total Harga]]*Table1[[#This Row],[Status Diskon]]</f>
        <v>1250000</v>
      </c>
      <c r="M78" s="4">
        <f>Table1[[#This Row],[Total Harga]]-Table1[[#This Row],[Nominal Diskon]]</f>
        <v>11250000</v>
      </c>
    </row>
    <row r="79" spans="1:13" x14ac:dyDescent="0.6">
      <c r="A79" s="2" t="s">
        <v>131</v>
      </c>
      <c r="B79" s="3" t="str">
        <f>PROPER(_xlfn.XLOOKUP(Table1[[#This Row],[ID]],'Data Mentah'!$A$2:$A$101,'Data Mentah'!$B$2:$B$101,"",0))</f>
        <v>Oki Setiana</v>
      </c>
      <c r="C79" s="3" t="str">
        <f>_xlfn.XLOOKUP(Table1[[#This Row],[ID]],'Data Mentah'!$A$2:$A$101,'Data Mentah'!$C$2:$C$101,"",0)</f>
        <v>P-02</v>
      </c>
      <c r="D79" s="3" t="str">
        <f>VLOOKUP(Table1[[#This Row],[Kode Produk]],'Tabel Referensi'!$A$2:$B$6,2,FALSE)</f>
        <v>Mouse Wireless</v>
      </c>
      <c r="E79" s="10">
        <f>INDEX('Tabel Referensi'!$C$2:$C$6,MATCH(Table1[[#This Row],[Kode Produk]],'Tabel Referensi'!$A$2:$A$6,0))</f>
        <v>150000</v>
      </c>
      <c r="F79" s="3" t="str">
        <f>INDEX('Tabel Referensi'!$D$2:$D$6,MATCH(Table1[[#This Row],[Kode Produk]],'Tabel Referensi'!$A$2:$A$6,0))</f>
        <v>Aksesoris</v>
      </c>
      <c r="G79" s="9">
        <f>_xlfn.XLOOKUP(Table1[[#This Row],[ID]],'Data Mentah'!$A$1:$A$101,'Data Mentah'!$D$1:$D$101,"",0)</f>
        <v>45501</v>
      </c>
      <c r="H79" s="3">
        <f>_xlfn.XLOOKUP(Table1[[#This Row],[ID]],'Data Mentah'!$A$1:$A$101,'Data Mentah'!$E$1:$E$101,"",0)</f>
        <v>3</v>
      </c>
      <c r="I79" s="10">
        <f>Table1[[#This Row],[Harga Satuan]]*Table1[[#This Row],[Quantity]]</f>
        <v>450000</v>
      </c>
      <c r="J79" s="3" t="str">
        <f>INDEX('Data Mentah'!$F$2:$F$101,MATCH(Table1[[#This Row],[ID]],'Data Mentah'!$A$2:$A$101,0))</f>
        <v>Ya</v>
      </c>
      <c r="K79" s="3" t="str">
        <f>IF(AND(Table1[[#This Row],[Member]]="Ya",Table1[[#This Row],[Total Harga]]&gt;=1000000),"10%","0%")</f>
        <v>0%</v>
      </c>
      <c r="L79" s="11">
        <f>Table1[[#This Row],[Total Harga]]*Table1[[#This Row],[Status Diskon]]</f>
        <v>0</v>
      </c>
      <c r="M79" s="4">
        <f>Table1[[#This Row],[Total Harga]]-Table1[[#This Row],[Nominal Diskon]]</f>
        <v>450000</v>
      </c>
    </row>
    <row r="80" spans="1:13" x14ac:dyDescent="0.6">
      <c r="A80" s="2" t="s">
        <v>51</v>
      </c>
      <c r="B80" s="3" t="str">
        <f>PROPER(_xlfn.XLOOKUP(Table1[[#This Row],[ID]],'Data Mentah'!$A$2:$A$101,'Data Mentah'!$B$2:$B$101,"",0))</f>
        <v>Putri Titian</v>
      </c>
      <c r="C80" s="3" t="str">
        <f>_xlfn.XLOOKUP(Table1[[#This Row],[ID]],'Data Mentah'!$A$2:$A$101,'Data Mentah'!$C$2:$C$101,"",0)</f>
        <v>P-05</v>
      </c>
      <c r="D80" s="3" t="str">
        <f>VLOOKUP(Table1[[#This Row],[Kode Produk]],'Tabel Referensi'!$A$2:$B$6,2,FALSE)</f>
        <v>Flashdisk 64GB</v>
      </c>
      <c r="E80" s="10">
        <f>INDEX('Tabel Referensi'!$C$2:$C$6,MATCH(Table1[[#This Row],[Kode Produk]],'Tabel Referensi'!$A$2:$A$6,0))</f>
        <v>95000</v>
      </c>
      <c r="F80" s="3" t="str">
        <f>INDEX('Tabel Referensi'!$D$2:$D$6,MATCH(Table1[[#This Row],[Kode Produk]],'Tabel Referensi'!$A$2:$A$6,0))</f>
        <v>Aksesoris</v>
      </c>
      <c r="G80" s="9">
        <f>_xlfn.XLOOKUP(Table1[[#This Row],[ID]],'Data Mentah'!$A$1:$A$101,'Data Mentah'!$D$1:$D$101,"",0)</f>
        <v>45534</v>
      </c>
      <c r="H80" s="3">
        <f>_xlfn.XLOOKUP(Table1[[#This Row],[ID]],'Data Mentah'!$A$1:$A$101,'Data Mentah'!$E$1:$E$101,"",0)</f>
        <v>2</v>
      </c>
      <c r="I80" s="10">
        <f>Table1[[#This Row],[Harga Satuan]]*Table1[[#This Row],[Quantity]]</f>
        <v>190000</v>
      </c>
      <c r="J80" s="3" t="str">
        <f>INDEX('Data Mentah'!$F$2:$F$101,MATCH(Table1[[#This Row],[ID]],'Data Mentah'!$A$2:$A$101,0))</f>
        <v>Tidak</v>
      </c>
      <c r="K80" s="3" t="str">
        <f>IF(AND(Table1[[#This Row],[Member]]="Ya",Table1[[#This Row],[Total Harga]]&gt;=1000000),"10%","0%")</f>
        <v>0%</v>
      </c>
      <c r="L80" s="11">
        <f>Table1[[#This Row],[Total Harga]]*Table1[[#This Row],[Status Diskon]]</f>
        <v>0</v>
      </c>
      <c r="M80" s="4">
        <f>Table1[[#This Row],[Total Harga]]-Table1[[#This Row],[Nominal Diskon]]</f>
        <v>190000</v>
      </c>
    </row>
    <row r="81" spans="1:13" x14ac:dyDescent="0.6">
      <c r="A81" s="2" t="s">
        <v>82</v>
      </c>
      <c r="B81" s="3" t="str">
        <f>PROPER(_xlfn.XLOOKUP(Table1[[#This Row],[ID]],'Data Mentah'!$A$2:$A$101,'Data Mentah'!$B$2:$B$101,"",0))</f>
        <v>Putri Titian</v>
      </c>
      <c r="C81" s="3" t="str">
        <f>_xlfn.XLOOKUP(Table1[[#This Row],[ID]],'Data Mentah'!$A$2:$A$101,'Data Mentah'!$C$2:$C$101,"",0)</f>
        <v>P-01</v>
      </c>
      <c r="D81" s="3" t="str">
        <f>VLOOKUP(Table1[[#This Row],[Kode Produk]],'Tabel Referensi'!$A$2:$B$6,2,FALSE)</f>
        <v>Laptop Pro 14</v>
      </c>
      <c r="E81" s="10">
        <f>INDEX('Tabel Referensi'!$C$2:$C$6,MATCH(Table1[[#This Row],[Kode Produk]],'Tabel Referensi'!$A$2:$A$6,0))</f>
        <v>12500000</v>
      </c>
      <c r="F81" s="3" t="str">
        <f>INDEX('Tabel Referensi'!$D$2:$D$6,MATCH(Table1[[#This Row],[Kode Produk]],'Tabel Referensi'!$A$2:$A$6,0))</f>
        <v>Komputer</v>
      </c>
      <c r="G81" s="9">
        <f>_xlfn.XLOOKUP(Table1[[#This Row],[ID]],'Data Mentah'!$A$1:$A$101,'Data Mentah'!$D$1:$D$101,"",0)</f>
        <v>45537</v>
      </c>
      <c r="H81" s="3">
        <f>_xlfn.XLOOKUP(Table1[[#This Row],[ID]],'Data Mentah'!$A$1:$A$101,'Data Mentah'!$E$1:$E$101,"",0)</f>
        <v>1</v>
      </c>
      <c r="I81" s="10">
        <f>Table1[[#This Row],[Harga Satuan]]*Table1[[#This Row],[Quantity]]</f>
        <v>12500000</v>
      </c>
      <c r="J81" s="3" t="str">
        <f>INDEX('Data Mentah'!$F$2:$F$101,MATCH(Table1[[#This Row],[ID]],'Data Mentah'!$A$2:$A$101,0))</f>
        <v>Tidak</v>
      </c>
      <c r="K81" s="3" t="str">
        <f>IF(AND(Table1[[#This Row],[Member]]="Ya",Table1[[#This Row],[Total Harga]]&gt;=1000000),"10%","0%")</f>
        <v>0%</v>
      </c>
      <c r="L81" s="11">
        <f>Table1[[#This Row],[Total Harga]]*Table1[[#This Row],[Status Diskon]]</f>
        <v>0</v>
      </c>
      <c r="M81" s="4">
        <f>Table1[[#This Row],[Total Harga]]-Table1[[#This Row],[Nominal Diskon]]</f>
        <v>12500000</v>
      </c>
    </row>
    <row r="82" spans="1:13" x14ac:dyDescent="0.6">
      <c r="A82" s="2" t="s">
        <v>107</v>
      </c>
      <c r="B82" s="3" t="str">
        <f>PROPER(_xlfn.XLOOKUP(Table1[[#This Row],[ID]],'Data Mentah'!$A$2:$A$101,'Data Mentah'!$B$2:$B$101,"",0))</f>
        <v>Putri Titian</v>
      </c>
      <c r="C82" s="3" t="str">
        <f>_xlfn.XLOOKUP(Table1[[#This Row],[ID]],'Data Mentah'!$A$2:$A$101,'Data Mentah'!$C$2:$C$101,"",0)</f>
        <v>P-02</v>
      </c>
      <c r="D82" s="3" t="str">
        <f>VLOOKUP(Table1[[#This Row],[Kode Produk]],'Tabel Referensi'!$A$2:$B$6,2,FALSE)</f>
        <v>Mouse Wireless</v>
      </c>
      <c r="E82" s="10">
        <f>INDEX('Tabel Referensi'!$C$2:$C$6,MATCH(Table1[[#This Row],[Kode Produk]],'Tabel Referensi'!$A$2:$A$6,0))</f>
        <v>150000</v>
      </c>
      <c r="F82" s="3" t="str">
        <f>INDEX('Tabel Referensi'!$D$2:$D$6,MATCH(Table1[[#This Row],[Kode Produk]],'Tabel Referensi'!$A$2:$A$6,0))</f>
        <v>Aksesoris</v>
      </c>
      <c r="G82" s="9">
        <f>_xlfn.XLOOKUP(Table1[[#This Row],[ID]],'Data Mentah'!$A$1:$A$101,'Data Mentah'!$D$1:$D$101,"",0)</f>
        <v>45540</v>
      </c>
      <c r="H82" s="3">
        <f>_xlfn.XLOOKUP(Table1[[#This Row],[ID]],'Data Mentah'!$A$1:$A$101,'Data Mentah'!$E$1:$E$101,"",0)</f>
        <v>3</v>
      </c>
      <c r="I82" s="10">
        <f>Table1[[#This Row],[Harga Satuan]]*Table1[[#This Row],[Quantity]]</f>
        <v>450000</v>
      </c>
      <c r="J82" s="3" t="str">
        <f>INDEX('Data Mentah'!$F$2:$F$101,MATCH(Table1[[#This Row],[ID]],'Data Mentah'!$A$2:$A$101,0))</f>
        <v>Tidak</v>
      </c>
      <c r="K82" s="3" t="str">
        <f>IF(AND(Table1[[#This Row],[Member]]="Ya",Table1[[#This Row],[Total Harga]]&gt;=1000000),"10%","0%")</f>
        <v>0%</v>
      </c>
      <c r="L82" s="11">
        <f>Table1[[#This Row],[Total Harga]]*Table1[[#This Row],[Status Diskon]]</f>
        <v>0</v>
      </c>
      <c r="M82" s="4">
        <f>Table1[[#This Row],[Total Harga]]-Table1[[#This Row],[Nominal Diskon]]</f>
        <v>450000</v>
      </c>
    </row>
    <row r="83" spans="1:13" x14ac:dyDescent="0.6">
      <c r="A83" s="2" t="s">
        <v>132</v>
      </c>
      <c r="B83" s="3" t="str">
        <f>PROPER(_xlfn.XLOOKUP(Table1[[#This Row],[ID]],'Data Mentah'!$A$2:$A$101,'Data Mentah'!$B$2:$B$101,"",0))</f>
        <v>Putri Titian</v>
      </c>
      <c r="C83" s="3" t="str">
        <f>_xlfn.XLOOKUP(Table1[[#This Row],[ID]],'Data Mentah'!$A$2:$A$101,'Data Mentah'!$C$2:$C$101,"",0)</f>
        <v>P-03</v>
      </c>
      <c r="D83" s="3" t="str">
        <f>VLOOKUP(Table1[[#This Row],[Kode Produk]],'Tabel Referensi'!$A$2:$B$6,2,FALSE)</f>
        <v>Keyboard Mechanical</v>
      </c>
      <c r="E83" s="10">
        <f>INDEX('Tabel Referensi'!$C$2:$C$6,MATCH(Table1[[#This Row],[Kode Produk]],'Tabel Referensi'!$A$2:$A$6,0))</f>
        <v>450000</v>
      </c>
      <c r="F83" s="3" t="str">
        <f>INDEX('Tabel Referensi'!$D$2:$D$6,MATCH(Table1[[#This Row],[Kode Produk]],'Tabel Referensi'!$A$2:$A$6,0))</f>
        <v>Aksesoris</v>
      </c>
      <c r="G83" s="9">
        <f>_xlfn.XLOOKUP(Table1[[#This Row],[ID]],'Data Mentah'!$A$1:$A$101,'Data Mentah'!$D$1:$D$101,"",0)</f>
        <v>45545</v>
      </c>
      <c r="H83" s="3">
        <f>_xlfn.XLOOKUP(Table1[[#This Row],[ID]],'Data Mentah'!$A$1:$A$101,'Data Mentah'!$E$1:$E$101,"",0)</f>
        <v>2</v>
      </c>
      <c r="I83" s="10">
        <f>Table1[[#This Row],[Harga Satuan]]*Table1[[#This Row],[Quantity]]</f>
        <v>900000</v>
      </c>
      <c r="J83" s="3" t="str">
        <f>INDEX('Data Mentah'!$F$2:$F$101,MATCH(Table1[[#This Row],[ID]],'Data Mentah'!$A$2:$A$101,0))</f>
        <v>Tidak</v>
      </c>
      <c r="K83" s="3" t="str">
        <f>IF(AND(Table1[[#This Row],[Member]]="Ya",Table1[[#This Row],[Total Harga]]&gt;=1000000),"10%","0%")</f>
        <v>0%</v>
      </c>
      <c r="L83" s="11">
        <f>Table1[[#This Row],[Total Harga]]*Table1[[#This Row],[Status Diskon]]</f>
        <v>0</v>
      </c>
      <c r="M83" s="4">
        <f>Table1[[#This Row],[Total Harga]]-Table1[[#This Row],[Nominal Diskon]]</f>
        <v>900000</v>
      </c>
    </row>
    <row r="84" spans="1:13" x14ac:dyDescent="0.6">
      <c r="A84" s="2" t="s">
        <v>53</v>
      </c>
      <c r="B84" s="3" t="str">
        <f>PROPER(_xlfn.XLOOKUP(Table1[[#This Row],[ID]],'Data Mentah'!$A$2:$A$101,'Data Mentah'!$B$2:$B$101,"",0))</f>
        <v>Qory Sandioriva</v>
      </c>
      <c r="C84" s="3" t="str">
        <f>_xlfn.XLOOKUP(Table1[[#This Row],[ID]],'Data Mentah'!$A$2:$A$101,'Data Mentah'!$C$2:$C$101,"",0)</f>
        <v>P-01</v>
      </c>
      <c r="D84" s="3" t="str">
        <f>VLOOKUP(Table1[[#This Row],[Kode Produk]],'Tabel Referensi'!$A$2:$B$6,2,FALSE)</f>
        <v>Laptop Pro 14</v>
      </c>
      <c r="E84" s="10">
        <f>INDEX('Tabel Referensi'!$C$2:$C$6,MATCH(Table1[[#This Row],[Kode Produk]],'Tabel Referensi'!$A$2:$A$6,0))</f>
        <v>12500000</v>
      </c>
      <c r="F84" s="3" t="str">
        <f>INDEX('Tabel Referensi'!$D$2:$D$6,MATCH(Table1[[#This Row],[Kode Produk]],'Tabel Referensi'!$A$2:$A$6,0))</f>
        <v>Komputer</v>
      </c>
      <c r="G84" s="9">
        <f>_xlfn.XLOOKUP(Table1[[#This Row],[ID]],'Data Mentah'!$A$1:$A$101,'Data Mentah'!$D$1:$D$101,"",0)</f>
        <v>45547</v>
      </c>
      <c r="H84" s="3">
        <f>_xlfn.XLOOKUP(Table1[[#This Row],[ID]],'Data Mentah'!$A$1:$A$101,'Data Mentah'!$E$1:$E$101,"",0)</f>
        <v>1</v>
      </c>
      <c r="I84" s="10">
        <f>Table1[[#This Row],[Harga Satuan]]*Table1[[#This Row],[Quantity]]</f>
        <v>12500000</v>
      </c>
      <c r="J84" s="3" t="str">
        <f>INDEX('Data Mentah'!$F$2:$F$101,MATCH(Table1[[#This Row],[ID]],'Data Mentah'!$A$2:$A$101,0))</f>
        <v>Ya</v>
      </c>
      <c r="K84" s="3" t="str">
        <f>IF(AND(Table1[[#This Row],[Member]]="Ya",Table1[[#This Row],[Total Harga]]&gt;=1000000),"10%","0%")</f>
        <v>10%</v>
      </c>
      <c r="L84" s="11">
        <f>Table1[[#This Row],[Total Harga]]*Table1[[#This Row],[Status Diskon]]</f>
        <v>1250000</v>
      </c>
      <c r="M84" s="4">
        <f>Table1[[#This Row],[Total Harga]]-Table1[[#This Row],[Nominal Diskon]]</f>
        <v>11250000</v>
      </c>
    </row>
    <row r="85" spans="1:13" x14ac:dyDescent="0.6">
      <c r="A85" s="2" t="s">
        <v>83</v>
      </c>
      <c r="B85" s="3" t="str">
        <f>PROPER(_xlfn.XLOOKUP(Table1[[#This Row],[ID]],'Data Mentah'!$A$2:$A$101,'Data Mentah'!$B$2:$B$101,"",0))</f>
        <v>Qory Sandioriva</v>
      </c>
      <c r="C85" s="3" t="str">
        <f>_xlfn.XLOOKUP(Table1[[#This Row],[ID]],'Data Mentah'!$A$2:$A$101,'Data Mentah'!$C$2:$C$101,"",0)</f>
        <v>P-02</v>
      </c>
      <c r="D85" s="3" t="str">
        <f>VLOOKUP(Table1[[#This Row],[Kode Produk]],'Tabel Referensi'!$A$2:$B$6,2,FALSE)</f>
        <v>Mouse Wireless</v>
      </c>
      <c r="E85" s="10">
        <f>INDEX('Tabel Referensi'!$C$2:$C$6,MATCH(Table1[[#This Row],[Kode Produk]],'Tabel Referensi'!$A$2:$A$6,0))</f>
        <v>150000</v>
      </c>
      <c r="F85" s="3" t="str">
        <f>INDEX('Tabel Referensi'!$D$2:$D$6,MATCH(Table1[[#This Row],[Kode Produk]],'Tabel Referensi'!$A$2:$A$6,0))</f>
        <v>Aksesoris</v>
      </c>
      <c r="G85" s="9">
        <f>_xlfn.XLOOKUP(Table1[[#This Row],[ID]],'Data Mentah'!$A$1:$A$101,'Data Mentah'!$D$1:$D$101,"",0)</f>
        <v>45550</v>
      </c>
      <c r="H85" s="3">
        <f>_xlfn.XLOOKUP(Table1[[#This Row],[ID]],'Data Mentah'!$A$1:$A$101,'Data Mentah'!$E$1:$E$101,"",0)</f>
        <v>5</v>
      </c>
      <c r="I85" s="10">
        <f>Table1[[#This Row],[Harga Satuan]]*Table1[[#This Row],[Quantity]]</f>
        <v>750000</v>
      </c>
      <c r="J85" s="3" t="str">
        <f>INDEX('Data Mentah'!$F$2:$F$101,MATCH(Table1[[#This Row],[ID]],'Data Mentah'!$A$2:$A$101,0))</f>
        <v>Ya</v>
      </c>
      <c r="K85" s="3" t="str">
        <f>IF(AND(Table1[[#This Row],[Member]]="Ya",Table1[[#This Row],[Total Harga]]&gt;=1000000),"10%","0%")</f>
        <v>0%</v>
      </c>
      <c r="L85" s="11">
        <f>Table1[[#This Row],[Total Harga]]*Table1[[#This Row],[Status Diskon]]</f>
        <v>0</v>
      </c>
      <c r="M85" s="4">
        <f>Table1[[#This Row],[Total Harga]]-Table1[[#This Row],[Nominal Diskon]]</f>
        <v>750000</v>
      </c>
    </row>
    <row r="86" spans="1:13" x14ac:dyDescent="0.6">
      <c r="A86" s="2" t="s">
        <v>108</v>
      </c>
      <c r="B86" s="3" t="str">
        <f>PROPER(_xlfn.XLOOKUP(Table1[[#This Row],[ID]],'Data Mentah'!$A$2:$A$101,'Data Mentah'!$B$2:$B$101,"",0))</f>
        <v>Qory Sandioriva</v>
      </c>
      <c r="C86" s="3" t="str">
        <f>_xlfn.XLOOKUP(Table1[[#This Row],[ID]],'Data Mentah'!$A$2:$A$101,'Data Mentah'!$C$2:$C$101,"",0)</f>
        <v>P-03</v>
      </c>
      <c r="D86" s="3" t="str">
        <f>VLOOKUP(Table1[[#This Row],[Kode Produk]],'Tabel Referensi'!$A$2:$B$6,2,FALSE)</f>
        <v>Keyboard Mechanical</v>
      </c>
      <c r="E86" s="10">
        <f>INDEX('Tabel Referensi'!$C$2:$C$6,MATCH(Table1[[#This Row],[Kode Produk]],'Tabel Referensi'!$A$2:$A$6,0))</f>
        <v>450000</v>
      </c>
      <c r="F86" s="3" t="str">
        <f>INDEX('Tabel Referensi'!$D$2:$D$6,MATCH(Table1[[#This Row],[Kode Produk]],'Tabel Referensi'!$A$2:$A$6,0))</f>
        <v>Aksesoris</v>
      </c>
      <c r="G86" s="9">
        <f>_xlfn.XLOOKUP(Table1[[#This Row],[ID]],'Data Mentah'!$A$1:$A$101,'Data Mentah'!$D$1:$D$101,"",0)</f>
        <v>45553</v>
      </c>
      <c r="H86" s="3">
        <f>_xlfn.XLOOKUP(Table1[[#This Row],[ID]],'Data Mentah'!$A$1:$A$101,'Data Mentah'!$E$1:$E$101,"",0)</f>
        <v>2</v>
      </c>
      <c r="I86" s="10">
        <f>Table1[[#This Row],[Harga Satuan]]*Table1[[#This Row],[Quantity]]</f>
        <v>900000</v>
      </c>
      <c r="J86" s="3" t="str">
        <f>INDEX('Data Mentah'!$F$2:$F$101,MATCH(Table1[[#This Row],[ID]],'Data Mentah'!$A$2:$A$101,0))</f>
        <v>Ya</v>
      </c>
      <c r="K86" s="3" t="str">
        <f>IF(AND(Table1[[#This Row],[Member]]="Ya",Table1[[#This Row],[Total Harga]]&gt;=1000000),"10%","0%")</f>
        <v>0%</v>
      </c>
      <c r="L86" s="11">
        <f>Table1[[#This Row],[Total Harga]]*Table1[[#This Row],[Status Diskon]]</f>
        <v>0</v>
      </c>
      <c r="M86" s="4">
        <f>Table1[[#This Row],[Total Harga]]-Table1[[#This Row],[Nominal Diskon]]</f>
        <v>900000</v>
      </c>
    </row>
    <row r="87" spans="1:13" x14ac:dyDescent="0.6">
      <c r="A87" s="2" t="s">
        <v>133</v>
      </c>
      <c r="B87" s="3" t="str">
        <f>PROPER(_xlfn.XLOOKUP(Table1[[#This Row],[ID]],'Data Mentah'!$A$2:$A$101,'Data Mentah'!$B$2:$B$101,"",0))</f>
        <v>Qory Sandioriva</v>
      </c>
      <c r="C87" s="3" t="str">
        <f>_xlfn.XLOOKUP(Table1[[#This Row],[ID]],'Data Mentah'!$A$2:$A$101,'Data Mentah'!$C$2:$C$101,"",0)</f>
        <v>P-04</v>
      </c>
      <c r="D87" s="3" t="str">
        <f>VLOOKUP(Table1[[#This Row],[Kode Produk]],'Tabel Referensi'!$A$2:$B$6,2,FALSE)</f>
        <v>Monitor 27 Inch</v>
      </c>
      <c r="E87" s="10">
        <f>INDEX('Tabel Referensi'!$C$2:$C$6,MATCH(Table1[[#This Row],[Kode Produk]],'Tabel Referensi'!$A$2:$A$6,0))</f>
        <v>2100000</v>
      </c>
      <c r="F87" s="3" t="str">
        <f>INDEX('Tabel Referensi'!$D$2:$D$6,MATCH(Table1[[#This Row],[Kode Produk]],'Tabel Referensi'!$A$2:$A$6,0))</f>
        <v>Komputer</v>
      </c>
      <c r="G87" s="9">
        <f>_xlfn.XLOOKUP(Table1[[#This Row],[ID]],'Data Mentah'!$A$1:$A$101,'Data Mentah'!$D$1:$D$101,"",0)</f>
        <v>45557</v>
      </c>
      <c r="H87" s="3">
        <f>_xlfn.XLOOKUP(Table1[[#This Row],[ID]],'Data Mentah'!$A$1:$A$101,'Data Mentah'!$E$1:$E$101,"",0)</f>
        <v>1</v>
      </c>
      <c r="I87" s="10">
        <f>Table1[[#This Row],[Harga Satuan]]*Table1[[#This Row],[Quantity]]</f>
        <v>2100000</v>
      </c>
      <c r="J87" s="3" t="str">
        <f>INDEX('Data Mentah'!$F$2:$F$101,MATCH(Table1[[#This Row],[ID]],'Data Mentah'!$A$2:$A$101,0))</f>
        <v>Ya</v>
      </c>
      <c r="K87" s="3" t="str">
        <f>IF(AND(Table1[[#This Row],[Member]]="Ya",Table1[[#This Row],[Total Harga]]&gt;=1000000),"10%","0%")</f>
        <v>10%</v>
      </c>
      <c r="L87" s="11">
        <f>Table1[[#This Row],[Total Harga]]*Table1[[#This Row],[Status Diskon]]</f>
        <v>210000</v>
      </c>
      <c r="M87" s="4">
        <f>Table1[[#This Row],[Total Harga]]-Table1[[#This Row],[Nominal Diskon]]</f>
        <v>1890000</v>
      </c>
    </row>
    <row r="88" spans="1:13" x14ac:dyDescent="0.6">
      <c r="A88" s="2" t="s">
        <v>55</v>
      </c>
      <c r="B88" s="3" t="str">
        <f>PROPER(_xlfn.XLOOKUP(Table1[[#This Row],[ID]],'Data Mentah'!$A$2:$A$101,'Data Mentah'!$B$2:$B$101,"",0))</f>
        <v>Reza Rahardian</v>
      </c>
      <c r="C88" s="3" t="str">
        <f>_xlfn.XLOOKUP(Table1[[#This Row],[ID]],'Data Mentah'!$A$2:$A$101,'Data Mentah'!$C$2:$C$101,"",0)</f>
        <v>P-02</v>
      </c>
      <c r="D88" s="3" t="str">
        <f>VLOOKUP(Table1[[#This Row],[Kode Produk]],'Tabel Referensi'!$A$2:$B$6,2,FALSE)</f>
        <v>Mouse Wireless</v>
      </c>
      <c r="E88" s="10">
        <f>INDEX('Tabel Referensi'!$C$2:$C$6,MATCH(Table1[[#This Row],[Kode Produk]],'Tabel Referensi'!$A$2:$A$6,0))</f>
        <v>150000</v>
      </c>
      <c r="F88" s="3" t="str">
        <f>INDEX('Tabel Referensi'!$D$2:$D$6,MATCH(Table1[[#This Row],[Kode Produk]],'Tabel Referensi'!$A$2:$A$6,0))</f>
        <v>Aksesoris</v>
      </c>
      <c r="G88" s="9">
        <f>_xlfn.XLOOKUP(Table1[[#This Row],[ID]],'Data Mentah'!$A$1:$A$101,'Data Mentah'!$D$1:$D$101,"",0)</f>
        <v>45590</v>
      </c>
      <c r="H88" s="3">
        <f>_xlfn.XLOOKUP(Table1[[#This Row],[ID]],'Data Mentah'!$A$1:$A$101,'Data Mentah'!$E$1:$E$101,"",0)</f>
        <v>5</v>
      </c>
      <c r="I88" s="10">
        <f>Table1[[#This Row],[Harga Satuan]]*Table1[[#This Row],[Quantity]]</f>
        <v>750000</v>
      </c>
      <c r="J88" s="3" t="str">
        <f>INDEX('Data Mentah'!$F$2:$F$101,MATCH(Table1[[#This Row],[ID]],'Data Mentah'!$A$2:$A$101,0))</f>
        <v>Tidak</v>
      </c>
      <c r="K88" s="3" t="str">
        <f>IF(AND(Table1[[#This Row],[Member]]="Ya",Table1[[#This Row],[Total Harga]]&gt;=1000000),"10%","0%")</f>
        <v>0%</v>
      </c>
      <c r="L88" s="11">
        <f>Table1[[#This Row],[Total Harga]]*Table1[[#This Row],[Status Diskon]]</f>
        <v>0</v>
      </c>
      <c r="M88" s="4">
        <f>Table1[[#This Row],[Total Harga]]-Table1[[#This Row],[Nominal Diskon]]</f>
        <v>750000</v>
      </c>
    </row>
    <row r="89" spans="1:13" x14ac:dyDescent="0.6">
      <c r="A89" s="2" t="s">
        <v>84</v>
      </c>
      <c r="B89" s="3" t="str">
        <f>PROPER(_xlfn.XLOOKUP(Table1[[#This Row],[ID]],'Data Mentah'!$A$2:$A$101,'Data Mentah'!$B$2:$B$101,"",0))</f>
        <v>Reza Rahardian</v>
      </c>
      <c r="C89" s="3" t="str">
        <f>_xlfn.XLOOKUP(Table1[[#This Row],[ID]],'Data Mentah'!$A$2:$A$101,'Data Mentah'!$C$2:$C$101,"",0)</f>
        <v>P-03</v>
      </c>
      <c r="D89" s="3" t="str">
        <f>VLOOKUP(Table1[[#This Row],[Kode Produk]],'Tabel Referensi'!$A$2:$B$6,2,FALSE)</f>
        <v>Keyboard Mechanical</v>
      </c>
      <c r="E89" s="10">
        <f>INDEX('Tabel Referensi'!$C$2:$C$6,MATCH(Table1[[#This Row],[Kode Produk]],'Tabel Referensi'!$A$2:$A$6,0))</f>
        <v>450000</v>
      </c>
      <c r="F89" s="3" t="str">
        <f>INDEX('Tabel Referensi'!$D$2:$D$6,MATCH(Table1[[#This Row],[Kode Produk]],'Tabel Referensi'!$A$2:$A$6,0))</f>
        <v>Aksesoris</v>
      </c>
      <c r="G89" s="9">
        <f>_xlfn.XLOOKUP(Table1[[#This Row],[ID]],'Data Mentah'!$A$1:$A$101,'Data Mentah'!$D$1:$D$101,"",0)</f>
        <v>45593</v>
      </c>
      <c r="H89" s="3">
        <f>_xlfn.XLOOKUP(Table1[[#This Row],[ID]],'Data Mentah'!$A$1:$A$101,'Data Mentah'!$E$1:$E$101,"",0)</f>
        <v>2</v>
      </c>
      <c r="I89" s="10">
        <f>Table1[[#This Row],[Harga Satuan]]*Table1[[#This Row],[Quantity]]</f>
        <v>900000</v>
      </c>
      <c r="J89" s="3" t="str">
        <f>INDEX('Data Mentah'!$F$2:$F$101,MATCH(Table1[[#This Row],[ID]],'Data Mentah'!$A$2:$A$101,0))</f>
        <v>Tidak</v>
      </c>
      <c r="K89" s="3" t="str">
        <f>IF(AND(Table1[[#This Row],[Member]]="Ya",Table1[[#This Row],[Total Harga]]&gt;=1000000),"10%","0%")</f>
        <v>0%</v>
      </c>
      <c r="L89" s="11">
        <f>Table1[[#This Row],[Total Harga]]*Table1[[#This Row],[Status Diskon]]</f>
        <v>0</v>
      </c>
      <c r="M89" s="4">
        <f>Table1[[#This Row],[Total Harga]]-Table1[[#This Row],[Nominal Diskon]]</f>
        <v>900000</v>
      </c>
    </row>
    <row r="90" spans="1:13" x14ac:dyDescent="0.6">
      <c r="A90" s="2" t="s">
        <v>109</v>
      </c>
      <c r="B90" s="3" t="str">
        <f>PROPER(_xlfn.XLOOKUP(Table1[[#This Row],[ID]],'Data Mentah'!$A$2:$A$101,'Data Mentah'!$B$2:$B$101,"",0))</f>
        <v>Reza Rahardian</v>
      </c>
      <c r="C90" s="3" t="str">
        <f>_xlfn.XLOOKUP(Table1[[#This Row],[ID]],'Data Mentah'!$A$2:$A$101,'Data Mentah'!$C$2:$C$101,"",0)</f>
        <v>P-04</v>
      </c>
      <c r="D90" s="3" t="str">
        <f>VLOOKUP(Table1[[#This Row],[Kode Produk]],'Tabel Referensi'!$A$2:$B$6,2,FALSE)</f>
        <v>Monitor 27 Inch</v>
      </c>
      <c r="E90" s="10">
        <f>INDEX('Tabel Referensi'!$C$2:$C$6,MATCH(Table1[[#This Row],[Kode Produk]],'Tabel Referensi'!$A$2:$A$6,0))</f>
        <v>2100000</v>
      </c>
      <c r="F90" s="3" t="str">
        <f>INDEX('Tabel Referensi'!$D$2:$D$6,MATCH(Table1[[#This Row],[Kode Produk]],'Tabel Referensi'!$A$2:$A$6,0))</f>
        <v>Komputer</v>
      </c>
      <c r="G90" s="9">
        <f>_xlfn.XLOOKUP(Table1[[#This Row],[ID]],'Data Mentah'!$A$1:$A$101,'Data Mentah'!$D$1:$D$101,"",0)</f>
        <v>45595</v>
      </c>
      <c r="H90" s="3">
        <f>_xlfn.XLOOKUP(Table1[[#This Row],[ID]],'Data Mentah'!$A$1:$A$101,'Data Mentah'!$E$1:$E$101,"",0)</f>
        <v>1</v>
      </c>
      <c r="I90" s="10">
        <f>Table1[[#This Row],[Harga Satuan]]*Table1[[#This Row],[Quantity]]</f>
        <v>2100000</v>
      </c>
      <c r="J90" s="3" t="str">
        <f>INDEX('Data Mentah'!$F$2:$F$101,MATCH(Table1[[#This Row],[ID]],'Data Mentah'!$A$2:$A$101,0))</f>
        <v>Tidak</v>
      </c>
      <c r="K90" s="3" t="str">
        <f>IF(AND(Table1[[#This Row],[Member]]="Ya",Table1[[#This Row],[Total Harga]]&gt;=1000000),"10%","0%")</f>
        <v>0%</v>
      </c>
      <c r="L90" s="11">
        <f>Table1[[#This Row],[Total Harga]]*Table1[[#This Row],[Status Diskon]]</f>
        <v>0</v>
      </c>
      <c r="M90" s="4">
        <f>Table1[[#This Row],[Total Harga]]-Table1[[#This Row],[Nominal Diskon]]</f>
        <v>2100000</v>
      </c>
    </row>
    <row r="91" spans="1:13" x14ac:dyDescent="0.6">
      <c r="A91" s="2" t="s">
        <v>57</v>
      </c>
      <c r="B91" s="3" t="str">
        <f>PROPER(_xlfn.XLOOKUP(Table1[[#This Row],[ID]],'Data Mentah'!$A$2:$A$101,'Data Mentah'!$B$2:$B$101,"",0))</f>
        <v>Sisca Soewitomo</v>
      </c>
      <c r="C91" s="3" t="str">
        <f>_xlfn.XLOOKUP(Table1[[#This Row],[ID]],'Data Mentah'!$A$2:$A$101,'Data Mentah'!$C$2:$C$101,"",0)</f>
        <v>P-03</v>
      </c>
      <c r="D91" s="3" t="str">
        <f>VLOOKUP(Table1[[#This Row],[Kode Produk]],'Tabel Referensi'!$A$2:$B$6,2,FALSE)</f>
        <v>Keyboard Mechanical</v>
      </c>
      <c r="E91" s="10">
        <f>INDEX('Tabel Referensi'!$C$2:$C$6,MATCH(Table1[[#This Row],[Kode Produk]],'Tabel Referensi'!$A$2:$A$6,0))</f>
        <v>450000</v>
      </c>
      <c r="F91" s="3" t="str">
        <f>INDEX('Tabel Referensi'!$D$2:$D$6,MATCH(Table1[[#This Row],[Kode Produk]],'Tabel Referensi'!$A$2:$A$6,0))</f>
        <v>Aksesoris</v>
      </c>
      <c r="G91" s="9">
        <f>_xlfn.XLOOKUP(Table1[[#This Row],[ID]],'Data Mentah'!$A$1:$A$101,'Data Mentah'!$D$1:$D$101,"",0)</f>
        <v>45598</v>
      </c>
      <c r="H91" s="3">
        <f>_xlfn.XLOOKUP(Table1[[#This Row],[ID]],'Data Mentah'!$A$1:$A$101,'Data Mentah'!$E$1:$E$101,"",0)</f>
        <v>3</v>
      </c>
      <c r="I91" s="10">
        <f>Table1[[#This Row],[Harga Satuan]]*Table1[[#This Row],[Quantity]]</f>
        <v>1350000</v>
      </c>
      <c r="J91" s="3" t="str">
        <f>INDEX('Data Mentah'!$F$2:$F$101,MATCH(Table1[[#This Row],[ID]],'Data Mentah'!$A$2:$A$101,0))</f>
        <v>Ya</v>
      </c>
      <c r="K91" s="3" t="str">
        <f>IF(AND(Table1[[#This Row],[Member]]="Ya",Table1[[#This Row],[Total Harga]]&gt;=1000000),"10%","0%")</f>
        <v>10%</v>
      </c>
      <c r="L91" s="11">
        <f>Table1[[#This Row],[Total Harga]]*Table1[[#This Row],[Status Diskon]]</f>
        <v>135000</v>
      </c>
      <c r="M91" s="4">
        <f>Table1[[#This Row],[Total Harga]]-Table1[[#This Row],[Nominal Diskon]]</f>
        <v>1215000</v>
      </c>
    </row>
    <row r="92" spans="1:13" x14ac:dyDescent="0.6">
      <c r="A92" s="2" t="s">
        <v>85</v>
      </c>
      <c r="B92" s="3" t="str">
        <f>PROPER(_xlfn.XLOOKUP(Table1[[#This Row],[ID]],'Data Mentah'!$A$2:$A$101,'Data Mentah'!$B$2:$B$101,"",0))</f>
        <v>Sisca Soewitomo</v>
      </c>
      <c r="C92" s="3" t="str">
        <f>_xlfn.XLOOKUP(Table1[[#This Row],[ID]],'Data Mentah'!$A$2:$A$101,'Data Mentah'!$C$2:$C$101,"",0)</f>
        <v>P-04</v>
      </c>
      <c r="D92" s="3" t="str">
        <f>VLOOKUP(Table1[[#This Row],[Kode Produk]],'Tabel Referensi'!$A$2:$B$6,2,FALSE)</f>
        <v>Monitor 27 Inch</v>
      </c>
      <c r="E92" s="10">
        <f>INDEX('Tabel Referensi'!$C$2:$C$6,MATCH(Table1[[#This Row],[Kode Produk]],'Tabel Referensi'!$A$2:$A$6,0))</f>
        <v>2100000</v>
      </c>
      <c r="F92" s="3" t="str">
        <f>INDEX('Tabel Referensi'!$D$2:$D$6,MATCH(Table1[[#This Row],[Kode Produk]],'Tabel Referensi'!$A$2:$A$6,0))</f>
        <v>Komputer</v>
      </c>
      <c r="G92" s="9">
        <f>_xlfn.XLOOKUP(Table1[[#This Row],[ID]],'Data Mentah'!$A$1:$A$101,'Data Mentah'!$D$1:$D$101,"",0)</f>
        <v>45601</v>
      </c>
      <c r="H92" s="3">
        <f>_xlfn.XLOOKUP(Table1[[#This Row],[ID]],'Data Mentah'!$A$1:$A$101,'Data Mentah'!$E$1:$E$101,"",0)</f>
        <v>1</v>
      </c>
      <c r="I92" s="10">
        <f>Table1[[#This Row],[Harga Satuan]]*Table1[[#This Row],[Quantity]]</f>
        <v>2100000</v>
      </c>
      <c r="J92" s="3" t="str">
        <f>INDEX('Data Mentah'!$F$2:$F$101,MATCH(Table1[[#This Row],[ID]],'Data Mentah'!$A$2:$A$101,0))</f>
        <v>Ya</v>
      </c>
      <c r="K92" s="3" t="str">
        <f>IF(AND(Table1[[#This Row],[Member]]="Ya",Table1[[#This Row],[Total Harga]]&gt;=1000000),"10%","0%")</f>
        <v>10%</v>
      </c>
      <c r="L92" s="11">
        <f>Table1[[#This Row],[Total Harga]]*Table1[[#This Row],[Status Diskon]]</f>
        <v>210000</v>
      </c>
      <c r="M92" s="4">
        <f>Table1[[#This Row],[Total Harga]]-Table1[[#This Row],[Nominal Diskon]]</f>
        <v>1890000</v>
      </c>
    </row>
    <row r="93" spans="1:13" x14ac:dyDescent="0.6">
      <c r="A93" s="2" t="s">
        <v>134</v>
      </c>
      <c r="B93" s="3" t="str">
        <f>PROPER(_xlfn.XLOOKUP(Table1[[#This Row],[ID]],'Data Mentah'!$A$2:$A$101,'Data Mentah'!$B$2:$B$101,"",0))</f>
        <v>Reza Rahardian</v>
      </c>
      <c r="C93" s="3" t="str">
        <f>_xlfn.XLOOKUP(Table1[[#This Row],[ID]],'Data Mentah'!$A$2:$A$101,'Data Mentah'!$C$2:$C$101,"",0)</f>
        <v>P-05</v>
      </c>
      <c r="D93" s="3" t="str">
        <f>VLOOKUP(Table1[[#This Row],[Kode Produk]],'Tabel Referensi'!$A$2:$B$6,2,FALSE)</f>
        <v>Flashdisk 64GB</v>
      </c>
      <c r="E93" s="10">
        <f>INDEX('Tabel Referensi'!$C$2:$C$6,MATCH(Table1[[#This Row],[Kode Produk]],'Tabel Referensi'!$A$2:$A$6,0))</f>
        <v>95000</v>
      </c>
      <c r="F93" s="3" t="str">
        <f>INDEX('Tabel Referensi'!$D$2:$D$6,MATCH(Table1[[#This Row],[Kode Produk]],'Tabel Referensi'!$A$2:$A$6,0))</f>
        <v>Aksesoris</v>
      </c>
      <c r="G93" s="9">
        <f>_xlfn.XLOOKUP(Table1[[#This Row],[ID]],'Data Mentah'!$A$1:$A$101,'Data Mentah'!$D$1:$D$101,"",0)</f>
        <v>45601</v>
      </c>
      <c r="H93" s="3">
        <f>_xlfn.XLOOKUP(Table1[[#This Row],[ID]],'Data Mentah'!$A$1:$A$101,'Data Mentah'!$E$1:$E$101,"",0)</f>
        <v>5</v>
      </c>
      <c r="I93" s="10">
        <f>Table1[[#This Row],[Harga Satuan]]*Table1[[#This Row],[Quantity]]</f>
        <v>475000</v>
      </c>
      <c r="J93" s="3" t="str">
        <f>INDEX('Data Mentah'!$F$2:$F$101,MATCH(Table1[[#This Row],[ID]],'Data Mentah'!$A$2:$A$101,0))</f>
        <v>Tidak</v>
      </c>
      <c r="K93" s="3" t="str">
        <f>IF(AND(Table1[[#This Row],[Member]]="Ya",Table1[[#This Row],[Total Harga]]&gt;=1000000),"10%","0%")</f>
        <v>0%</v>
      </c>
      <c r="L93" s="11">
        <f>Table1[[#This Row],[Total Harga]]*Table1[[#This Row],[Status Diskon]]</f>
        <v>0</v>
      </c>
      <c r="M93" s="4">
        <f>Table1[[#This Row],[Total Harga]]-Table1[[#This Row],[Nominal Diskon]]</f>
        <v>475000</v>
      </c>
    </row>
    <row r="94" spans="1:13" x14ac:dyDescent="0.6">
      <c r="A94" s="2" t="s">
        <v>110</v>
      </c>
      <c r="B94" s="3" t="str">
        <f>PROPER(_xlfn.XLOOKUP(Table1[[#This Row],[ID]],'Data Mentah'!$A$2:$A$101,'Data Mentah'!$B$2:$B$101,"",0))</f>
        <v>Sisca Soewitomo</v>
      </c>
      <c r="C94" s="3" t="str">
        <f>_xlfn.XLOOKUP(Table1[[#This Row],[ID]],'Data Mentah'!$A$2:$A$101,'Data Mentah'!$C$2:$C$101,"",0)</f>
        <v>P-05</v>
      </c>
      <c r="D94" s="3" t="str">
        <f>VLOOKUP(Table1[[#This Row],[Kode Produk]],'Tabel Referensi'!$A$2:$B$6,2,FALSE)</f>
        <v>Flashdisk 64GB</v>
      </c>
      <c r="E94" s="10">
        <f>INDEX('Tabel Referensi'!$C$2:$C$6,MATCH(Table1[[#This Row],[Kode Produk]],'Tabel Referensi'!$A$2:$A$6,0))</f>
        <v>95000</v>
      </c>
      <c r="F94" s="3" t="str">
        <f>INDEX('Tabel Referensi'!$D$2:$D$6,MATCH(Table1[[#This Row],[Kode Produk]],'Tabel Referensi'!$A$2:$A$6,0))</f>
        <v>Aksesoris</v>
      </c>
      <c r="G94" s="9">
        <f>_xlfn.XLOOKUP(Table1[[#This Row],[ID]],'Data Mentah'!$A$1:$A$101,'Data Mentah'!$D$1:$D$101,"",0)</f>
        <v>45604</v>
      </c>
      <c r="H94" s="3">
        <f>_xlfn.XLOOKUP(Table1[[#This Row],[ID]],'Data Mentah'!$A$1:$A$101,'Data Mentah'!$E$1:$E$101,"",0)</f>
        <v>5</v>
      </c>
      <c r="I94" s="10">
        <f>Table1[[#This Row],[Harga Satuan]]*Table1[[#This Row],[Quantity]]</f>
        <v>475000</v>
      </c>
      <c r="J94" s="3" t="str">
        <f>INDEX('Data Mentah'!$F$2:$F$101,MATCH(Table1[[#This Row],[ID]],'Data Mentah'!$A$2:$A$101,0))</f>
        <v>Ya</v>
      </c>
      <c r="K94" s="3" t="str">
        <f>IF(AND(Table1[[#This Row],[Member]]="Ya",Table1[[#This Row],[Total Harga]]&gt;=1000000),"10%","0%")</f>
        <v>0%</v>
      </c>
      <c r="L94" s="11">
        <f>Table1[[#This Row],[Total Harga]]*Table1[[#This Row],[Status Diskon]]</f>
        <v>0</v>
      </c>
      <c r="M94" s="4">
        <f>Table1[[#This Row],[Total Harga]]-Table1[[#This Row],[Nominal Diskon]]</f>
        <v>475000</v>
      </c>
    </row>
    <row r="95" spans="1:13" x14ac:dyDescent="0.6">
      <c r="A95" s="2" t="s">
        <v>135</v>
      </c>
      <c r="B95" s="3" t="str">
        <f>PROPER(_xlfn.XLOOKUP(Table1[[#This Row],[ID]],'Data Mentah'!$A$2:$A$101,'Data Mentah'!$B$2:$B$101,"",0))</f>
        <v>Sisca Soewitomo</v>
      </c>
      <c r="C95" s="3" t="str">
        <f>_xlfn.XLOOKUP(Table1[[#This Row],[ID]],'Data Mentah'!$A$2:$A$101,'Data Mentah'!$C$2:$C$101,"",0)</f>
        <v>P-01</v>
      </c>
      <c r="D95" s="3" t="str">
        <f>VLOOKUP(Table1[[#This Row],[Kode Produk]],'Tabel Referensi'!$A$2:$B$6,2,FALSE)</f>
        <v>Laptop Pro 14</v>
      </c>
      <c r="E95" s="10">
        <f>INDEX('Tabel Referensi'!$C$2:$C$6,MATCH(Table1[[#This Row],[Kode Produk]],'Tabel Referensi'!$A$2:$A$6,0))</f>
        <v>12500000</v>
      </c>
      <c r="F95" s="3" t="str">
        <f>INDEX('Tabel Referensi'!$D$2:$D$6,MATCH(Table1[[#This Row],[Kode Produk]],'Tabel Referensi'!$A$2:$A$6,0))</f>
        <v>Komputer</v>
      </c>
      <c r="G95" s="9">
        <f>_xlfn.XLOOKUP(Table1[[#This Row],[ID]],'Data Mentah'!$A$1:$A$101,'Data Mentah'!$D$1:$D$101,"",0)</f>
        <v>45608</v>
      </c>
      <c r="H95" s="3">
        <f>_xlfn.XLOOKUP(Table1[[#This Row],[ID]],'Data Mentah'!$A$1:$A$101,'Data Mentah'!$E$1:$E$101,"",0)</f>
        <v>1</v>
      </c>
      <c r="I95" s="10">
        <f>Table1[[#This Row],[Harga Satuan]]*Table1[[#This Row],[Quantity]]</f>
        <v>12500000</v>
      </c>
      <c r="J95" s="3" t="str">
        <f>INDEX('Data Mentah'!$F$2:$F$101,MATCH(Table1[[#This Row],[ID]],'Data Mentah'!$A$2:$A$101,0))</f>
        <v>Ya</v>
      </c>
      <c r="K95" s="3" t="str">
        <f>IF(AND(Table1[[#This Row],[Member]]="Ya",Table1[[#This Row],[Total Harga]]&gt;=1000000),"10%","0%")</f>
        <v>10%</v>
      </c>
      <c r="L95" s="11">
        <f>Table1[[#This Row],[Total Harga]]*Table1[[#This Row],[Status Diskon]]</f>
        <v>1250000</v>
      </c>
      <c r="M95" s="4">
        <f>Table1[[#This Row],[Total Harga]]-Table1[[#This Row],[Nominal Diskon]]</f>
        <v>11250000</v>
      </c>
    </row>
    <row r="96" spans="1:13" x14ac:dyDescent="0.6">
      <c r="A96" s="2" t="s">
        <v>59</v>
      </c>
      <c r="B96" s="3" t="str">
        <f>PROPER(_xlfn.XLOOKUP(Table1[[#This Row],[ID]],'Data Mentah'!$A$2:$A$101,'Data Mentah'!$B$2:$B$101,"",0))</f>
        <v>Tora Sudiro</v>
      </c>
      <c r="C96" s="3" t="str">
        <f>_xlfn.XLOOKUP(Table1[[#This Row],[ID]],'Data Mentah'!$A$2:$A$101,'Data Mentah'!$C$2:$C$101,"",0)</f>
        <v>P-04</v>
      </c>
      <c r="D96" s="3" t="str">
        <f>VLOOKUP(Table1[[#This Row],[Kode Produk]],'Tabel Referensi'!$A$2:$B$6,2,FALSE)</f>
        <v>Monitor 27 Inch</v>
      </c>
      <c r="E96" s="10">
        <f>INDEX('Tabel Referensi'!$C$2:$C$6,MATCH(Table1[[#This Row],[Kode Produk]],'Tabel Referensi'!$A$2:$A$6,0))</f>
        <v>2100000</v>
      </c>
      <c r="F96" s="3" t="str">
        <f>INDEX('Tabel Referensi'!$D$2:$D$6,MATCH(Table1[[#This Row],[Kode Produk]],'Tabel Referensi'!$A$2:$A$6,0))</f>
        <v>Komputer</v>
      </c>
      <c r="G96" s="9">
        <f>_xlfn.XLOOKUP(Table1[[#This Row],[ID]],'Data Mentah'!$A$1:$A$101,'Data Mentah'!$D$1:$D$101,"",0)</f>
        <v>45638</v>
      </c>
      <c r="H96" s="3">
        <f>_xlfn.XLOOKUP(Table1[[#This Row],[ID]],'Data Mentah'!$A$1:$A$101,'Data Mentah'!$E$1:$E$101,"",0)</f>
        <v>1</v>
      </c>
      <c r="I96" s="10">
        <f>Table1[[#This Row],[Harga Satuan]]*Table1[[#This Row],[Quantity]]</f>
        <v>2100000</v>
      </c>
      <c r="J96" s="3" t="str">
        <f>INDEX('Data Mentah'!$F$2:$F$101,MATCH(Table1[[#This Row],[ID]],'Data Mentah'!$A$2:$A$101,0))</f>
        <v>Tidak</v>
      </c>
      <c r="K96" s="3" t="str">
        <f>IF(AND(Table1[[#This Row],[Member]]="Ya",Table1[[#This Row],[Total Harga]]&gt;=1000000),"10%","0%")</f>
        <v>0%</v>
      </c>
      <c r="L96" s="11">
        <f>Table1[[#This Row],[Total Harga]]*Table1[[#This Row],[Status Diskon]]</f>
        <v>0</v>
      </c>
      <c r="M96" s="4">
        <f>Table1[[#This Row],[Total Harga]]-Table1[[#This Row],[Nominal Diskon]]</f>
        <v>2100000</v>
      </c>
    </row>
    <row r="97" spans="1:13" x14ac:dyDescent="0.6">
      <c r="A97" s="2" t="s">
        <v>86</v>
      </c>
      <c r="B97" s="3" t="str">
        <f>PROPER(_xlfn.XLOOKUP(Table1[[#This Row],[ID]],'Data Mentah'!$A$2:$A$101,'Data Mentah'!$B$2:$B$101,"",0))</f>
        <v>Tora Sudiro</v>
      </c>
      <c r="C97" s="3" t="str">
        <f>_xlfn.XLOOKUP(Table1[[#This Row],[ID]],'Data Mentah'!$A$2:$A$101,'Data Mentah'!$C$2:$C$101,"",0)</f>
        <v>P-05</v>
      </c>
      <c r="D97" s="3" t="str">
        <f>VLOOKUP(Table1[[#This Row],[Kode Produk]],'Tabel Referensi'!$A$2:$B$6,2,FALSE)</f>
        <v>Flashdisk 64GB</v>
      </c>
      <c r="E97" s="10">
        <f>INDEX('Tabel Referensi'!$C$2:$C$6,MATCH(Table1[[#This Row],[Kode Produk]],'Tabel Referensi'!$A$2:$A$6,0))</f>
        <v>95000</v>
      </c>
      <c r="F97" s="3" t="str">
        <f>INDEX('Tabel Referensi'!$D$2:$D$6,MATCH(Table1[[#This Row],[Kode Produk]],'Tabel Referensi'!$A$2:$A$6,0))</f>
        <v>Aksesoris</v>
      </c>
      <c r="G97" s="9">
        <f>_xlfn.XLOOKUP(Table1[[#This Row],[ID]],'Data Mentah'!$A$1:$A$101,'Data Mentah'!$D$1:$D$101,"",0)</f>
        <v>45641</v>
      </c>
      <c r="H97" s="3">
        <f>_xlfn.XLOOKUP(Table1[[#This Row],[ID]],'Data Mentah'!$A$1:$A$101,'Data Mentah'!$E$1:$E$101,"",0)</f>
        <v>4</v>
      </c>
      <c r="I97" s="10">
        <f>Table1[[#This Row],[Harga Satuan]]*Table1[[#This Row],[Quantity]]</f>
        <v>380000</v>
      </c>
      <c r="J97" s="3" t="str">
        <f>INDEX('Data Mentah'!$F$2:$F$101,MATCH(Table1[[#This Row],[ID]],'Data Mentah'!$A$2:$A$101,0))</f>
        <v>Tidak</v>
      </c>
      <c r="K97" s="3" t="str">
        <f>IF(AND(Table1[[#This Row],[Member]]="Ya",Table1[[#This Row],[Total Harga]]&gt;=1000000),"10%","0%")</f>
        <v>0%</v>
      </c>
      <c r="L97" s="11">
        <f>Table1[[#This Row],[Total Harga]]*Table1[[#This Row],[Status Diskon]]</f>
        <v>0</v>
      </c>
      <c r="M97" s="4">
        <f>Table1[[#This Row],[Total Harga]]-Table1[[#This Row],[Nominal Diskon]]</f>
        <v>380000</v>
      </c>
    </row>
    <row r="98" spans="1:13" x14ac:dyDescent="0.6">
      <c r="A98" s="2" t="s">
        <v>111</v>
      </c>
      <c r="B98" s="3" t="str">
        <f>PROPER(_xlfn.XLOOKUP(Table1[[#This Row],[ID]],'Data Mentah'!$A$2:$A$101,'Data Mentah'!$B$2:$B$101,"",0))</f>
        <v>Tora Sudiro</v>
      </c>
      <c r="C98" s="3" t="str">
        <f>_xlfn.XLOOKUP(Table1[[#This Row],[ID]],'Data Mentah'!$A$2:$A$101,'Data Mentah'!$C$2:$C$101,"",0)</f>
        <v>P-01</v>
      </c>
      <c r="D98" s="3" t="str">
        <f>VLOOKUP(Table1[[#This Row],[Kode Produk]],'Tabel Referensi'!$A$2:$B$6,2,FALSE)</f>
        <v>Laptop Pro 14</v>
      </c>
      <c r="E98" s="10">
        <f>INDEX('Tabel Referensi'!$C$2:$C$6,MATCH(Table1[[#This Row],[Kode Produk]],'Tabel Referensi'!$A$2:$A$6,0))</f>
        <v>12500000</v>
      </c>
      <c r="F98" s="3" t="str">
        <f>INDEX('Tabel Referensi'!$D$2:$D$6,MATCH(Table1[[#This Row],[Kode Produk]],'Tabel Referensi'!$A$2:$A$6,0))</f>
        <v>Komputer</v>
      </c>
      <c r="G98" s="9">
        <f>_xlfn.XLOOKUP(Table1[[#This Row],[ID]],'Data Mentah'!$A$1:$A$101,'Data Mentah'!$D$1:$D$101,"",0)</f>
        <v>45644</v>
      </c>
      <c r="H98" s="3">
        <f>_xlfn.XLOOKUP(Table1[[#This Row],[ID]],'Data Mentah'!$A$1:$A$101,'Data Mentah'!$E$1:$E$101,"",0)</f>
        <v>1</v>
      </c>
      <c r="I98" s="10">
        <f>Table1[[#This Row],[Harga Satuan]]*Table1[[#This Row],[Quantity]]</f>
        <v>12500000</v>
      </c>
      <c r="J98" s="3" t="str">
        <f>INDEX('Data Mentah'!$F$2:$F$101,MATCH(Table1[[#This Row],[ID]],'Data Mentah'!$A$2:$A$101,0))</f>
        <v>Tidak</v>
      </c>
      <c r="K98" s="3" t="str">
        <f>IF(AND(Table1[[#This Row],[Member]]="Ya",Table1[[#This Row],[Total Harga]]&gt;=1000000),"10%","0%")</f>
        <v>0%</v>
      </c>
      <c r="L98" s="11">
        <f>Table1[[#This Row],[Total Harga]]*Table1[[#This Row],[Status Diskon]]</f>
        <v>0</v>
      </c>
      <c r="M98" s="4">
        <f>Table1[[#This Row],[Total Harga]]-Table1[[#This Row],[Nominal Diskon]]</f>
        <v>12500000</v>
      </c>
    </row>
    <row r="99" spans="1:13" x14ac:dyDescent="0.6">
      <c r="A99" s="2" t="s">
        <v>136</v>
      </c>
      <c r="B99" s="3" t="str">
        <f>PROPER(_xlfn.XLOOKUP(Table1[[#This Row],[ID]],'Data Mentah'!$A$2:$A$101,'Data Mentah'!$B$2:$B$101,"",0))</f>
        <v>Tora Sudiro</v>
      </c>
      <c r="C99" s="3" t="str">
        <f>_xlfn.XLOOKUP(Table1[[#This Row],[ID]],'Data Mentah'!$A$2:$A$101,'Data Mentah'!$C$2:$C$101,"",0)</f>
        <v>P-02</v>
      </c>
      <c r="D99" s="3" t="str">
        <f>VLOOKUP(Table1[[#This Row],[Kode Produk]],'Tabel Referensi'!$A$2:$B$6,2,FALSE)</f>
        <v>Mouse Wireless</v>
      </c>
      <c r="E99" s="10">
        <f>INDEX('Tabel Referensi'!$C$2:$C$6,MATCH(Table1[[#This Row],[Kode Produk]],'Tabel Referensi'!$A$2:$A$6,0))</f>
        <v>150000</v>
      </c>
      <c r="F99" s="3" t="str">
        <f>INDEX('Tabel Referensi'!$D$2:$D$6,MATCH(Table1[[#This Row],[Kode Produk]],'Tabel Referensi'!$A$2:$A$6,0))</f>
        <v>Aksesoris</v>
      </c>
      <c r="G99" s="9">
        <f>_xlfn.XLOOKUP(Table1[[#This Row],[ID]],'Data Mentah'!$A$1:$A$101,'Data Mentah'!$D$1:$D$101,"",0)</f>
        <v>45648</v>
      </c>
      <c r="H99" s="3">
        <f>_xlfn.XLOOKUP(Table1[[#This Row],[ID]],'Data Mentah'!$A$1:$A$101,'Data Mentah'!$E$1:$E$101,"",0)</f>
        <v>4</v>
      </c>
      <c r="I99" s="10">
        <f>Table1[[#This Row],[Harga Satuan]]*Table1[[#This Row],[Quantity]]</f>
        <v>600000</v>
      </c>
      <c r="J99" s="3" t="str">
        <f>INDEX('Data Mentah'!$F$2:$F$101,MATCH(Table1[[#This Row],[ID]],'Data Mentah'!$A$2:$A$101,0))</f>
        <v>Tidak</v>
      </c>
      <c r="K99" s="3" t="str">
        <f>IF(AND(Table1[[#This Row],[Member]]="Ya",Table1[[#This Row],[Total Harga]]&gt;=1000000),"10%","0%")</f>
        <v>0%</v>
      </c>
      <c r="L99" s="11">
        <f>Table1[[#This Row],[Total Harga]]*Table1[[#This Row],[Status Diskon]]</f>
        <v>0</v>
      </c>
      <c r="M99" s="4">
        <f>Table1[[#This Row],[Total Harga]]-Table1[[#This Row],[Nominal Diskon]]</f>
        <v>600000</v>
      </c>
    </row>
    <row r="100" spans="1:13" x14ac:dyDescent="0.6">
      <c r="A100" s="2" t="s">
        <v>61</v>
      </c>
      <c r="B100" s="3" t="str">
        <f>PROPER(_xlfn.XLOOKUP(Table1[[#This Row],[ID]],'Data Mentah'!$A$2:$A$101,'Data Mentah'!$B$2:$B$101,"",0))</f>
        <v>Umay Shahab</v>
      </c>
      <c r="C100" s="3" t="str">
        <f>_xlfn.XLOOKUP(Table1[[#This Row],[ID]],'Data Mentah'!$A$2:$A$101,'Data Mentah'!$C$2:$C$101,"",0)</f>
        <v>P-05</v>
      </c>
      <c r="D100" s="3" t="str">
        <f>VLOOKUP(Table1[[#This Row],[Kode Produk]],'Tabel Referensi'!$A$2:$B$6,2,FALSE)</f>
        <v>Flashdisk 64GB</v>
      </c>
      <c r="E100" s="10">
        <f>INDEX('Tabel Referensi'!$C$2:$C$6,MATCH(Table1[[#This Row],[Kode Produk]],'Tabel Referensi'!$A$2:$A$6,0))</f>
        <v>95000</v>
      </c>
      <c r="F100" s="3" t="str">
        <f>INDEX('Tabel Referensi'!$D$2:$D$6,MATCH(Table1[[#This Row],[Kode Produk]],'Tabel Referensi'!$A$2:$A$6,0))</f>
        <v>Aksesoris</v>
      </c>
      <c r="G100" s="9">
        <f>_xlfn.XLOOKUP(Table1[[#This Row],[ID]],'Data Mentah'!$A$1:$A$101,'Data Mentah'!$D$1:$D$101,"",0)</f>
        <v>45662</v>
      </c>
      <c r="H100" s="3">
        <f>_xlfn.XLOOKUP(Table1[[#This Row],[ID]],'Data Mentah'!$A$1:$A$101,'Data Mentah'!$E$1:$E$101,"",0)</f>
        <v>10</v>
      </c>
      <c r="I100" s="10">
        <f>Table1[[#This Row],[Harga Satuan]]*Table1[[#This Row],[Quantity]]</f>
        <v>950000</v>
      </c>
      <c r="J100" s="3" t="str">
        <f>INDEX('Data Mentah'!$F$2:$F$101,MATCH(Table1[[#This Row],[ID]],'Data Mentah'!$A$2:$A$101,0))</f>
        <v>Ya</v>
      </c>
      <c r="K100" s="3" t="str">
        <f>IF(AND(Table1[[#This Row],[Member]]="Ya",Table1[[#This Row],[Total Harga]]&gt;=1000000),"10%","0%")</f>
        <v>0%</v>
      </c>
      <c r="L100" s="11">
        <f>Table1[[#This Row],[Total Harga]]*Table1[[#This Row],[Status Diskon]]</f>
        <v>0</v>
      </c>
      <c r="M100" s="4">
        <f>Table1[[#This Row],[Total Harga]]-Table1[[#This Row],[Nominal Diskon]]</f>
        <v>950000</v>
      </c>
    </row>
    <row r="101" spans="1:13" x14ac:dyDescent="0.6">
      <c r="A101" s="2" t="s">
        <v>87</v>
      </c>
      <c r="B101" s="3" t="str">
        <f>PROPER(_xlfn.XLOOKUP(Table1[[#This Row],[ID]],'Data Mentah'!$A$2:$A$101,'Data Mentah'!$B$2:$B$101,"",0))</f>
        <v>Umay Shahab</v>
      </c>
      <c r="C101" s="3" t="str">
        <f>_xlfn.XLOOKUP(Table1[[#This Row],[ID]],'Data Mentah'!$A$2:$A$101,'Data Mentah'!$C$2:$C$101,"",0)</f>
        <v>P-01</v>
      </c>
      <c r="D101" s="3" t="str">
        <f>VLOOKUP(Table1[[#This Row],[Kode Produk]],'Tabel Referensi'!$A$2:$B$6,2,FALSE)</f>
        <v>Laptop Pro 14</v>
      </c>
      <c r="E101" s="10">
        <f>INDEX('Tabel Referensi'!$C$2:$C$6,MATCH(Table1[[#This Row],[Kode Produk]],'Tabel Referensi'!$A$2:$A$6,0))</f>
        <v>12500000</v>
      </c>
      <c r="F101" s="3" t="str">
        <f>INDEX('Tabel Referensi'!$D$2:$D$6,MATCH(Table1[[#This Row],[Kode Produk]],'Tabel Referensi'!$A$2:$A$6,0))</f>
        <v>Komputer</v>
      </c>
      <c r="G101" s="9">
        <f>_xlfn.XLOOKUP(Table1[[#This Row],[ID]],'Data Mentah'!$A$1:$A$101,'Data Mentah'!$D$1:$D$101,"",0)</f>
        <v>45665</v>
      </c>
      <c r="H101" s="3">
        <f>_xlfn.XLOOKUP(Table1[[#This Row],[ID]],'Data Mentah'!$A$1:$A$101,'Data Mentah'!$E$1:$E$101,"",0)</f>
        <v>2</v>
      </c>
      <c r="I101" s="10">
        <f>Table1[[#This Row],[Harga Satuan]]*Table1[[#This Row],[Quantity]]</f>
        <v>25000000</v>
      </c>
      <c r="J101" s="3" t="str">
        <f>INDEX('Data Mentah'!$F$2:$F$101,MATCH(Table1[[#This Row],[ID]],'Data Mentah'!$A$2:$A$101,0))</f>
        <v>Ya</v>
      </c>
      <c r="K101" s="3" t="str">
        <f>IF(AND(Table1[[#This Row],[Member]]="Ya",Table1[[#This Row],[Total Harga]]&gt;=1000000),"10%","0%")</f>
        <v>10%</v>
      </c>
      <c r="L101" s="11">
        <f>Table1[[#This Row],[Total Harga]]*Table1[[#This Row],[Status Diskon]]</f>
        <v>2500000</v>
      </c>
      <c r="M101" s="4">
        <f>Table1[[#This Row],[Total Harga]]-Table1[[#This Row],[Nominal Diskon]]</f>
        <v>22500000</v>
      </c>
    </row>
    <row r="102" spans="1:13" x14ac:dyDescent="0.6">
      <c r="A102" s="2" t="s">
        <v>112</v>
      </c>
      <c r="B102" s="3" t="str">
        <f>PROPER(_xlfn.XLOOKUP(Table1[[#This Row],[ID]],'Data Mentah'!$A$2:$A$101,'Data Mentah'!$B$2:$B$101,"",0))</f>
        <v>Umay Shahab</v>
      </c>
      <c r="C102" s="3" t="str">
        <f>_xlfn.XLOOKUP(Table1[[#This Row],[ID]],'Data Mentah'!$A$2:$A$101,'Data Mentah'!$C$2:$C$101,"",0)</f>
        <v>P-02</v>
      </c>
      <c r="D102" s="3" t="str">
        <f>VLOOKUP(Table1[[#This Row],[Kode Produk]],'Tabel Referensi'!$A$2:$B$6,2,FALSE)</f>
        <v>Mouse Wireless</v>
      </c>
      <c r="E102" s="10">
        <f>INDEX('Tabel Referensi'!$C$2:$C$6,MATCH(Table1[[#This Row],[Kode Produk]],'Tabel Referensi'!$A$2:$A$6,0))</f>
        <v>150000</v>
      </c>
      <c r="F102" s="3" t="str">
        <f>INDEX('Tabel Referensi'!$D$2:$D$6,MATCH(Table1[[#This Row],[Kode Produk]],'Tabel Referensi'!$A$2:$A$6,0))</f>
        <v>Aksesoris</v>
      </c>
      <c r="G102" s="9">
        <f>_xlfn.XLOOKUP(Table1[[#This Row],[ID]],'Data Mentah'!$A$1:$A$101,'Data Mentah'!$D$1:$D$101,"",0)</f>
        <v>45669</v>
      </c>
      <c r="H102" s="3">
        <f>_xlfn.XLOOKUP(Table1[[#This Row],[ID]],'Data Mentah'!$A$1:$A$101,'Data Mentah'!$E$1:$E$101,"",0)</f>
        <v>4</v>
      </c>
      <c r="I102" s="10">
        <f>Table1[[#This Row],[Harga Satuan]]*Table1[[#This Row],[Quantity]]</f>
        <v>600000</v>
      </c>
      <c r="J102" s="3" t="str">
        <f>INDEX('Data Mentah'!$F$2:$F$101,MATCH(Table1[[#This Row],[ID]],'Data Mentah'!$A$2:$A$101,0))</f>
        <v>Ya</v>
      </c>
      <c r="K102" s="3" t="str">
        <f>IF(AND(Table1[[#This Row],[Member]]="Ya",Table1[[#This Row],[Total Harga]]&gt;=1000000),"10%","0%")</f>
        <v>0%</v>
      </c>
      <c r="L102" s="11">
        <f>Table1[[#This Row],[Total Harga]]*Table1[[#This Row],[Status Diskon]]</f>
        <v>0</v>
      </c>
      <c r="M102" s="4">
        <f>Table1[[#This Row],[Total Harga]]-Table1[[#This Row],[Nominal Diskon]]</f>
        <v>600000</v>
      </c>
    </row>
    <row r="103" spans="1:13" x14ac:dyDescent="0.6">
      <c r="A103" s="2" t="s">
        <v>137</v>
      </c>
      <c r="B103" s="3" t="str">
        <f>PROPER(_xlfn.XLOOKUP(Table1[[#This Row],[ID]],'Data Mentah'!$A$2:$A$101,'Data Mentah'!$B$2:$B$101,"",0))</f>
        <v>Umay Shahab</v>
      </c>
      <c r="C103" s="3" t="str">
        <f>_xlfn.XLOOKUP(Table1[[#This Row],[ID]],'Data Mentah'!$A$2:$A$101,'Data Mentah'!$C$2:$C$101,"",0)</f>
        <v>P-03</v>
      </c>
      <c r="D103" s="3" t="str">
        <f>VLOOKUP(Table1[[#This Row],[Kode Produk]],'Tabel Referensi'!$A$2:$B$6,2,FALSE)</f>
        <v>Keyboard Mechanical</v>
      </c>
      <c r="E103" s="10">
        <f>INDEX('Tabel Referensi'!$C$2:$C$6,MATCH(Table1[[#This Row],[Kode Produk]],'Tabel Referensi'!$A$2:$A$6,0))</f>
        <v>450000</v>
      </c>
      <c r="F103" s="3" t="str">
        <f>INDEX('Tabel Referensi'!$D$2:$D$6,MATCH(Table1[[#This Row],[Kode Produk]],'Tabel Referensi'!$A$2:$A$6,0))</f>
        <v>Aksesoris</v>
      </c>
      <c r="G103" s="9">
        <f>_xlfn.XLOOKUP(Table1[[#This Row],[ID]],'Data Mentah'!$A$1:$A$101,'Data Mentah'!$D$1:$D$101,"",0)</f>
        <v>45672</v>
      </c>
      <c r="H103" s="3">
        <f>_xlfn.XLOOKUP(Table1[[#This Row],[ID]],'Data Mentah'!$A$1:$A$101,'Data Mentah'!$E$1:$E$101,"",0)</f>
        <v>2</v>
      </c>
      <c r="I103" s="10">
        <f>Table1[[#This Row],[Harga Satuan]]*Table1[[#This Row],[Quantity]]</f>
        <v>900000</v>
      </c>
      <c r="J103" s="3" t="str">
        <f>INDEX('Data Mentah'!$F$2:$F$101,MATCH(Table1[[#This Row],[ID]],'Data Mentah'!$A$2:$A$101,0))</f>
        <v>Ya</v>
      </c>
      <c r="K103" s="3" t="str">
        <f>IF(AND(Table1[[#This Row],[Member]]="Ya",Table1[[#This Row],[Total Harga]]&gt;=1000000),"10%","0%")</f>
        <v>0%</v>
      </c>
      <c r="L103" s="11">
        <f>Table1[[#This Row],[Total Harga]]*Table1[[#This Row],[Status Diskon]]</f>
        <v>0</v>
      </c>
      <c r="M103" s="4">
        <f>Table1[[#This Row],[Total Harga]]-Table1[[#This Row],[Nominal Diskon]]</f>
        <v>900000</v>
      </c>
    </row>
  </sheetData>
  <mergeCells count="1">
    <mergeCell ref="A1:M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49499-20D7-442D-A2F5-0AB6C7699F94}">
  <dimension ref="A4:G24"/>
  <sheetViews>
    <sheetView topLeftCell="A10" zoomScale="85" zoomScaleNormal="85" workbookViewId="0">
      <selection activeCell="D11" sqref="D11"/>
    </sheetView>
  </sheetViews>
  <sheetFormatPr defaultRowHeight="15" x14ac:dyDescent="0.25"/>
  <cols>
    <col min="1" max="1" width="23.7109375" bestFit="1" customWidth="1"/>
    <col min="2" max="2" width="25.42578125" bestFit="1" customWidth="1"/>
    <col min="3" max="3" width="17" bestFit="1" customWidth="1"/>
    <col min="4" max="5" width="12.85546875" bestFit="1" customWidth="1"/>
    <col min="6" max="6" width="15" bestFit="1" customWidth="1"/>
    <col min="7" max="7" width="15.5703125" bestFit="1" customWidth="1"/>
    <col min="8" max="14" width="12.42578125" bestFit="1" customWidth="1"/>
    <col min="15" max="15" width="11.5703125" bestFit="1" customWidth="1"/>
    <col min="16" max="16" width="12.42578125" bestFit="1" customWidth="1"/>
    <col min="17" max="17" width="11.5703125" bestFit="1" customWidth="1"/>
    <col min="18" max="18" width="12.28515625" bestFit="1" customWidth="1"/>
    <col min="19" max="19" width="12.42578125" bestFit="1" customWidth="1"/>
    <col min="20" max="21" width="12.28515625" bestFit="1" customWidth="1"/>
    <col min="22" max="26" width="11.42578125" bestFit="1" customWidth="1"/>
    <col min="27" max="27" width="10.85546875" bestFit="1" customWidth="1"/>
    <col min="28" max="28" width="11.42578125" bestFit="1" customWidth="1"/>
    <col min="29" max="29" width="10.85546875" bestFit="1" customWidth="1"/>
    <col min="30" max="32" width="11.85546875" bestFit="1" customWidth="1"/>
    <col min="33" max="33" width="12.42578125" bestFit="1" customWidth="1"/>
    <col min="34" max="35" width="11.7109375" bestFit="1" customWidth="1"/>
    <col min="36" max="36" width="12.42578125" bestFit="1" customWidth="1"/>
    <col min="37" max="37" width="11.7109375" bestFit="1" customWidth="1"/>
    <col min="38" max="38" width="11.42578125" bestFit="1" customWidth="1"/>
    <col min="39" max="39" width="12.42578125" bestFit="1" customWidth="1"/>
    <col min="40" max="41" width="11.42578125" bestFit="1" customWidth="1"/>
    <col min="42" max="42" width="12.42578125" bestFit="1" customWidth="1"/>
    <col min="43" max="45" width="12" bestFit="1" customWidth="1"/>
    <col min="46" max="48" width="11.7109375" bestFit="1" customWidth="1"/>
    <col min="49" max="50" width="11.28515625" bestFit="1" customWidth="1"/>
    <col min="51" max="51" width="11.42578125" bestFit="1" customWidth="1"/>
    <col min="52" max="52" width="11.28515625" bestFit="1" customWidth="1"/>
    <col min="53" max="53" width="12.42578125" bestFit="1" customWidth="1"/>
    <col min="54" max="55" width="11.7109375" bestFit="1" customWidth="1"/>
    <col min="56" max="56" width="12.42578125" bestFit="1" customWidth="1"/>
    <col min="57" max="57" width="11.7109375" bestFit="1" customWidth="1"/>
    <col min="58" max="58" width="12" bestFit="1" customWidth="1"/>
    <col min="59" max="59" width="12.42578125" bestFit="1" customWidth="1"/>
    <col min="60" max="61" width="12" bestFit="1" customWidth="1"/>
    <col min="62" max="62" width="12.42578125" bestFit="1" customWidth="1"/>
    <col min="63" max="65" width="11.5703125" bestFit="1" customWidth="1"/>
    <col min="66" max="69" width="12.28515625" bestFit="1" customWidth="1"/>
    <col min="70" max="72" width="11.42578125" bestFit="1" customWidth="1"/>
    <col min="73" max="73" width="12.42578125" bestFit="1" customWidth="1"/>
    <col min="74" max="74" width="11.42578125" bestFit="1" customWidth="1"/>
    <col min="75" max="75" width="10.85546875" bestFit="1" customWidth="1"/>
    <col min="76" max="76" width="12.42578125" bestFit="1" customWidth="1"/>
    <col min="77" max="77" width="10.85546875" bestFit="1" customWidth="1"/>
    <col min="78" max="78" width="11.85546875" bestFit="1" customWidth="1"/>
    <col min="79" max="79" width="12.42578125" bestFit="1" customWidth="1"/>
    <col min="80" max="81" width="11.7109375" bestFit="1" customWidth="1"/>
    <col min="82" max="82" width="12.42578125" bestFit="1" customWidth="1"/>
    <col min="83" max="85" width="11.7109375" bestFit="1" customWidth="1"/>
    <col min="86" max="88" width="11.42578125" bestFit="1" customWidth="1"/>
    <col min="89" max="91" width="12" bestFit="1" customWidth="1"/>
    <col min="92" max="92" width="12.42578125" bestFit="1" customWidth="1"/>
    <col min="93" max="94" width="11.7109375" bestFit="1" customWidth="1"/>
    <col min="95" max="95" width="12.42578125" bestFit="1" customWidth="1"/>
    <col min="96" max="96" width="11.7109375" bestFit="1" customWidth="1"/>
    <col min="97" max="97" width="11.28515625" bestFit="1" customWidth="1"/>
    <col min="98" max="98" width="12.42578125" bestFit="1" customWidth="1"/>
    <col min="99" max="100" width="11.28515625" bestFit="1" customWidth="1"/>
  </cols>
  <sheetData>
    <row r="4" spans="1:7" ht="19.5" x14ac:dyDescent="0.55000000000000004">
      <c r="A4" s="15" t="s">
        <v>154</v>
      </c>
      <c r="B4" s="15"/>
      <c r="C4" s="15" t="s">
        <v>138</v>
      </c>
      <c r="G4" s="17"/>
    </row>
    <row r="5" spans="1:7" ht="19.5" x14ac:dyDescent="0.55000000000000004">
      <c r="A5" s="15" t="s">
        <v>170</v>
      </c>
      <c r="B5" s="15" t="s">
        <v>171</v>
      </c>
      <c r="C5" s="15" t="s">
        <v>147</v>
      </c>
    </row>
    <row r="6" spans="1:7" ht="19.5" x14ac:dyDescent="0.55000000000000004">
      <c r="A6" s="3" t="s">
        <v>167</v>
      </c>
      <c r="B6" s="3" t="s">
        <v>156</v>
      </c>
      <c r="C6" s="4">
        <v>665000</v>
      </c>
    </row>
    <row r="7" spans="1:7" ht="19.5" x14ac:dyDescent="0.55000000000000004">
      <c r="A7" s="3"/>
      <c r="B7" s="3" t="s">
        <v>157</v>
      </c>
      <c r="C7" s="4">
        <v>570000</v>
      </c>
    </row>
    <row r="8" spans="1:7" ht="19.5" x14ac:dyDescent="0.55000000000000004">
      <c r="A8" s="3"/>
      <c r="B8" s="3" t="s">
        <v>158</v>
      </c>
      <c r="C8" s="4">
        <v>380000</v>
      </c>
    </row>
    <row r="9" spans="1:7" ht="19.5" x14ac:dyDescent="0.55000000000000004">
      <c r="A9" s="3"/>
      <c r="B9" s="3" t="s">
        <v>160</v>
      </c>
      <c r="C9" s="4">
        <v>475000</v>
      </c>
    </row>
    <row r="10" spans="1:7" ht="19.5" x14ac:dyDescent="0.55000000000000004">
      <c r="A10" s="3"/>
      <c r="B10" s="3" t="s">
        <v>161</v>
      </c>
      <c r="C10" s="4">
        <v>380000</v>
      </c>
    </row>
    <row r="11" spans="1:7" ht="19.5" x14ac:dyDescent="0.55000000000000004">
      <c r="A11" s="3"/>
      <c r="B11" s="3" t="s">
        <v>162</v>
      </c>
      <c r="C11" s="4">
        <v>475000</v>
      </c>
    </row>
    <row r="12" spans="1:7" ht="19.5" x14ac:dyDescent="0.55000000000000004">
      <c r="A12" s="3"/>
      <c r="B12" s="3" t="s">
        <v>163</v>
      </c>
      <c r="C12" s="4">
        <v>475000</v>
      </c>
    </row>
    <row r="13" spans="1:7" ht="19.5" x14ac:dyDescent="0.55000000000000004">
      <c r="A13" s="3"/>
      <c r="B13" s="3" t="s">
        <v>164</v>
      </c>
      <c r="C13" s="4">
        <v>285000</v>
      </c>
    </row>
    <row r="14" spans="1:7" ht="19.5" x14ac:dyDescent="0.55000000000000004">
      <c r="A14" s="3" t="s">
        <v>168</v>
      </c>
      <c r="B14" s="3" t="s">
        <v>155</v>
      </c>
      <c r="C14" s="4">
        <v>570000</v>
      </c>
    </row>
    <row r="15" spans="1:7" ht="19.5" x14ac:dyDescent="0.55000000000000004">
      <c r="A15" s="3"/>
      <c r="B15" s="3" t="s">
        <v>156</v>
      </c>
      <c r="C15" s="4">
        <v>190000</v>
      </c>
    </row>
    <row r="16" spans="1:7" ht="19.5" x14ac:dyDescent="0.55000000000000004">
      <c r="A16" s="3"/>
      <c r="B16" s="3" t="s">
        <v>157</v>
      </c>
      <c r="C16" s="4">
        <v>760000</v>
      </c>
    </row>
    <row r="17" spans="1:3" ht="19.5" x14ac:dyDescent="0.55000000000000004">
      <c r="A17" s="3"/>
      <c r="B17" s="3" t="s">
        <v>159</v>
      </c>
      <c r="C17" s="4">
        <v>570000</v>
      </c>
    </row>
    <row r="18" spans="1:3" ht="19.5" x14ac:dyDescent="0.55000000000000004">
      <c r="A18" s="3"/>
      <c r="B18" s="3" t="s">
        <v>160</v>
      </c>
      <c r="C18" s="4">
        <v>380000</v>
      </c>
    </row>
    <row r="19" spans="1:3" ht="19.5" x14ac:dyDescent="0.55000000000000004">
      <c r="A19" s="3"/>
      <c r="B19" s="3" t="s">
        <v>161</v>
      </c>
      <c r="C19" s="4">
        <v>285000</v>
      </c>
    </row>
    <row r="20" spans="1:3" ht="19.5" x14ac:dyDescent="0.55000000000000004">
      <c r="A20" s="3"/>
      <c r="B20" s="3" t="s">
        <v>162</v>
      </c>
      <c r="C20" s="4">
        <v>190000</v>
      </c>
    </row>
    <row r="21" spans="1:3" ht="19.5" x14ac:dyDescent="0.55000000000000004">
      <c r="A21" s="3"/>
      <c r="B21" s="3" t="s">
        <v>165</v>
      </c>
      <c r="C21" s="4">
        <v>950000</v>
      </c>
    </row>
    <row r="22" spans="1:3" ht="19.5" x14ac:dyDescent="0.55000000000000004">
      <c r="A22" s="3"/>
      <c r="B22" s="3" t="s">
        <v>166</v>
      </c>
      <c r="C22" s="4">
        <v>380000</v>
      </c>
    </row>
    <row r="23" spans="1:3" ht="19.5" x14ac:dyDescent="0.55000000000000004">
      <c r="A23" s="3" t="s">
        <v>169</v>
      </c>
      <c r="B23" s="3" t="s">
        <v>155</v>
      </c>
      <c r="C23" s="4">
        <v>950000</v>
      </c>
    </row>
    <row r="24" spans="1:3" ht="19.5" x14ac:dyDescent="0.55000000000000004">
      <c r="A24" s="3" t="s">
        <v>177</v>
      </c>
      <c r="B24" s="3"/>
      <c r="C24" s="4">
        <v>8930000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3036-93A9-4633-9A7A-60223107D8AC}">
  <dimension ref="A4:C25"/>
  <sheetViews>
    <sheetView topLeftCell="A16" workbookViewId="0">
      <selection activeCell="C19" sqref="C19"/>
    </sheetView>
  </sheetViews>
  <sheetFormatPr defaultRowHeight="15" x14ac:dyDescent="0.25"/>
  <cols>
    <col min="1" max="1" width="23.7109375" bestFit="1" customWidth="1"/>
    <col min="2" max="2" width="25.42578125" bestFit="1" customWidth="1"/>
    <col min="3" max="3" width="23" bestFit="1" customWidth="1"/>
    <col min="4" max="4" width="12.7109375" bestFit="1" customWidth="1"/>
    <col min="5" max="5" width="12.85546875" bestFit="1" customWidth="1"/>
    <col min="6" max="6" width="15" bestFit="1" customWidth="1"/>
    <col min="7" max="7" width="15.5703125" bestFit="1" customWidth="1"/>
    <col min="8" max="14" width="12.42578125" bestFit="1" customWidth="1"/>
    <col min="15" max="15" width="11.5703125" bestFit="1" customWidth="1"/>
    <col min="16" max="16" width="12.42578125" bestFit="1" customWidth="1"/>
    <col min="17" max="17" width="11.5703125" bestFit="1" customWidth="1"/>
    <col min="18" max="18" width="12.28515625" bestFit="1" customWidth="1"/>
    <col min="19" max="19" width="12.42578125" bestFit="1" customWidth="1"/>
    <col min="20" max="21" width="12.28515625" bestFit="1" customWidth="1"/>
    <col min="22" max="26" width="11.42578125" bestFit="1" customWidth="1"/>
    <col min="27" max="27" width="10.85546875" bestFit="1" customWidth="1"/>
    <col min="28" max="28" width="11.42578125" bestFit="1" customWidth="1"/>
    <col min="29" max="29" width="10.85546875" bestFit="1" customWidth="1"/>
    <col min="30" max="32" width="11.85546875" bestFit="1" customWidth="1"/>
    <col min="33" max="33" width="12.42578125" bestFit="1" customWidth="1"/>
    <col min="34" max="35" width="11.7109375" bestFit="1" customWidth="1"/>
    <col min="36" max="36" width="12.42578125" bestFit="1" customWidth="1"/>
    <col min="37" max="37" width="11.7109375" bestFit="1" customWidth="1"/>
    <col min="38" max="38" width="11.42578125" bestFit="1" customWidth="1"/>
    <col min="39" max="39" width="12.42578125" bestFit="1" customWidth="1"/>
    <col min="40" max="41" width="11.42578125" bestFit="1" customWidth="1"/>
    <col min="42" max="42" width="12.42578125" bestFit="1" customWidth="1"/>
    <col min="43" max="45" width="12" bestFit="1" customWidth="1"/>
    <col min="46" max="48" width="11.7109375" bestFit="1" customWidth="1"/>
    <col min="49" max="50" width="11.28515625" bestFit="1" customWidth="1"/>
    <col min="51" max="51" width="11.42578125" bestFit="1" customWidth="1"/>
    <col min="52" max="52" width="11.28515625" bestFit="1" customWidth="1"/>
    <col min="53" max="53" width="12.42578125" bestFit="1" customWidth="1"/>
    <col min="54" max="55" width="11.7109375" bestFit="1" customWidth="1"/>
    <col min="56" max="56" width="12.42578125" bestFit="1" customWidth="1"/>
    <col min="57" max="57" width="11.7109375" bestFit="1" customWidth="1"/>
    <col min="58" max="58" width="12" bestFit="1" customWidth="1"/>
    <col min="59" max="59" width="12.42578125" bestFit="1" customWidth="1"/>
    <col min="60" max="61" width="12" bestFit="1" customWidth="1"/>
    <col min="62" max="62" width="12.42578125" bestFit="1" customWidth="1"/>
    <col min="63" max="65" width="11.5703125" bestFit="1" customWidth="1"/>
    <col min="66" max="69" width="12.28515625" bestFit="1" customWidth="1"/>
    <col min="70" max="72" width="11.42578125" bestFit="1" customWidth="1"/>
    <col min="73" max="73" width="12.42578125" bestFit="1" customWidth="1"/>
    <col min="74" max="74" width="11.42578125" bestFit="1" customWidth="1"/>
    <col min="75" max="75" width="10.85546875" bestFit="1" customWidth="1"/>
    <col min="76" max="76" width="12.42578125" bestFit="1" customWidth="1"/>
    <col min="77" max="77" width="10.85546875" bestFit="1" customWidth="1"/>
    <col min="78" max="78" width="11.85546875" bestFit="1" customWidth="1"/>
    <col min="79" max="79" width="12.42578125" bestFit="1" customWidth="1"/>
    <col min="80" max="81" width="11.7109375" bestFit="1" customWidth="1"/>
    <col min="82" max="82" width="12.42578125" bestFit="1" customWidth="1"/>
    <col min="83" max="85" width="11.7109375" bestFit="1" customWidth="1"/>
    <col min="86" max="88" width="11.42578125" bestFit="1" customWidth="1"/>
    <col min="89" max="91" width="12" bestFit="1" customWidth="1"/>
    <col min="92" max="92" width="12.42578125" bestFit="1" customWidth="1"/>
    <col min="93" max="94" width="11.7109375" bestFit="1" customWidth="1"/>
    <col min="95" max="95" width="12.42578125" bestFit="1" customWidth="1"/>
    <col min="96" max="96" width="11.7109375" bestFit="1" customWidth="1"/>
    <col min="97" max="97" width="11.28515625" bestFit="1" customWidth="1"/>
    <col min="98" max="98" width="12.42578125" bestFit="1" customWidth="1"/>
    <col min="99" max="100" width="11.28515625" bestFit="1" customWidth="1"/>
  </cols>
  <sheetData>
    <row r="4" spans="1:3" ht="19.5" x14ac:dyDescent="0.55000000000000004">
      <c r="A4" s="15" t="s">
        <v>154</v>
      </c>
      <c r="B4" s="15"/>
      <c r="C4" s="15" t="s">
        <v>138</v>
      </c>
    </row>
    <row r="5" spans="1:3" ht="19.5" x14ac:dyDescent="0.55000000000000004">
      <c r="A5" s="15" t="s">
        <v>170</v>
      </c>
      <c r="B5" s="15" t="s">
        <v>171</v>
      </c>
      <c r="C5" s="15" t="s">
        <v>145</v>
      </c>
    </row>
    <row r="6" spans="1:3" ht="19.5" x14ac:dyDescent="0.55000000000000004">
      <c r="A6" s="3" t="s">
        <v>167</v>
      </c>
      <c r="B6" s="3" t="s">
        <v>155</v>
      </c>
      <c r="C6" s="4">
        <v>450000</v>
      </c>
    </row>
    <row r="7" spans="1:3" ht="19.5" x14ac:dyDescent="0.55000000000000004">
      <c r="A7" s="3"/>
      <c r="B7" s="3" t="s">
        <v>156</v>
      </c>
      <c r="C7" s="4">
        <v>900000</v>
      </c>
    </row>
    <row r="8" spans="1:3" ht="19.5" x14ac:dyDescent="0.55000000000000004">
      <c r="A8" s="3"/>
      <c r="B8" s="3" t="s">
        <v>157</v>
      </c>
      <c r="C8" s="4">
        <v>1215000</v>
      </c>
    </row>
    <row r="9" spans="1:3" ht="19.5" x14ac:dyDescent="0.55000000000000004">
      <c r="A9" s="3"/>
      <c r="B9" s="3" t="s">
        <v>159</v>
      </c>
      <c r="C9" s="4">
        <v>900000</v>
      </c>
    </row>
    <row r="10" spans="1:3" ht="19.5" x14ac:dyDescent="0.55000000000000004">
      <c r="A10" s="3"/>
      <c r="B10" s="3" t="s">
        <v>160</v>
      </c>
      <c r="C10" s="4">
        <v>450000</v>
      </c>
    </row>
    <row r="11" spans="1:3" ht="19.5" x14ac:dyDescent="0.55000000000000004">
      <c r="A11" s="3"/>
      <c r="B11" s="3" t="s">
        <v>161</v>
      </c>
      <c r="C11" s="4">
        <v>450000</v>
      </c>
    </row>
    <row r="12" spans="1:3" ht="19.5" x14ac:dyDescent="0.55000000000000004">
      <c r="A12" s="3"/>
      <c r="B12" s="3" t="s">
        <v>162</v>
      </c>
      <c r="C12" s="4">
        <v>900000</v>
      </c>
    </row>
    <row r="13" spans="1:3" ht="19.5" x14ac:dyDescent="0.55000000000000004">
      <c r="A13" s="3"/>
      <c r="B13" s="3" t="s">
        <v>164</v>
      </c>
      <c r="C13" s="4">
        <v>450000</v>
      </c>
    </row>
    <row r="14" spans="1:3" ht="19.5" x14ac:dyDescent="0.55000000000000004">
      <c r="A14" s="3"/>
      <c r="B14" s="3" t="s">
        <v>165</v>
      </c>
      <c r="C14" s="4">
        <v>900000</v>
      </c>
    </row>
    <row r="15" spans="1:3" ht="19.5" x14ac:dyDescent="0.55000000000000004">
      <c r="A15" s="3"/>
      <c r="B15" s="3" t="s">
        <v>166</v>
      </c>
      <c r="C15" s="4">
        <v>450000</v>
      </c>
    </row>
    <row r="16" spans="1:3" ht="19.5" x14ac:dyDescent="0.55000000000000004">
      <c r="A16" s="3" t="s">
        <v>168</v>
      </c>
      <c r="B16" s="3" t="s">
        <v>155</v>
      </c>
      <c r="C16" s="4">
        <v>900000</v>
      </c>
    </row>
    <row r="17" spans="1:3" ht="19.5" x14ac:dyDescent="0.55000000000000004">
      <c r="A17" s="3"/>
      <c r="B17" s="3" t="s">
        <v>157</v>
      </c>
      <c r="C17" s="4">
        <v>900000</v>
      </c>
    </row>
    <row r="18" spans="1:3" ht="19.5" x14ac:dyDescent="0.55000000000000004">
      <c r="A18" s="3"/>
      <c r="B18" s="3" t="s">
        <v>158</v>
      </c>
      <c r="C18" s="4">
        <v>450000</v>
      </c>
    </row>
    <row r="19" spans="1:3" ht="19.5" x14ac:dyDescent="0.55000000000000004">
      <c r="A19" s="3"/>
      <c r="B19" s="3" t="s">
        <v>159</v>
      </c>
      <c r="C19" s="4">
        <v>450000</v>
      </c>
    </row>
    <row r="20" spans="1:3" ht="19.5" x14ac:dyDescent="0.55000000000000004">
      <c r="A20" s="3"/>
      <c r="B20" s="3" t="s">
        <v>160</v>
      </c>
      <c r="C20" s="4">
        <v>450000</v>
      </c>
    </row>
    <row r="21" spans="1:3" ht="19.5" x14ac:dyDescent="0.55000000000000004">
      <c r="A21" s="3"/>
      <c r="B21" s="3" t="s">
        <v>163</v>
      </c>
      <c r="C21" s="4">
        <v>1800000</v>
      </c>
    </row>
    <row r="22" spans="1:3" ht="19.5" x14ac:dyDescent="0.55000000000000004">
      <c r="A22" s="3"/>
      <c r="B22" s="3" t="s">
        <v>164</v>
      </c>
      <c r="C22" s="4">
        <v>900000</v>
      </c>
    </row>
    <row r="23" spans="1:3" ht="19.5" x14ac:dyDescent="0.55000000000000004">
      <c r="A23" s="3"/>
      <c r="B23" s="3" t="s">
        <v>165</v>
      </c>
      <c r="C23" s="4">
        <v>1215000</v>
      </c>
    </row>
    <row r="24" spans="1:3" ht="19.5" x14ac:dyDescent="0.55000000000000004">
      <c r="A24" s="3" t="s">
        <v>169</v>
      </c>
      <c r="B24" s="3" t="s">
        <v>155</v>
      </c>
      <c r="C24" s="4">
        <v>900000</v>
      </c>
    </row>
    <row r="25" spans="1:3" ht="19.5" x14ac:dyDescent="0.55000000000000004">
      <c r="A25" s="3" t="s">
        <v>177</v>
      </c>
      <c r="B25" s="3"/>
      <c r="C25" s="4">
        <v>15030000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59C87-59C9-4FC7-A087-98716675504C}">
  <dimension ref="A4:C26"/>
  <sheetViews>
    <sheetView topLeftCell="A10" workbookViewId="0">
      <selection activeCell="B13" sqref="B13"/>
    </sheetView>
  </sheetViews>
  <sheetFormatPr defaultRowHeight="15" x14ac:dyDescent="0.25"/>
  <cols>
    <col min="1" max="1" width="23.7109375" bestFit="1" customWidth="1"/>
    <col min="2" max="2" width="25.42578125" bestFit="1" customWidth="1"/>
    <col min="3" max="3" width="17" bestFit="1" customWidth="1"/>
    <col min="4" max="4" width="20.28515625" bestFit="1" customWidth="1"/>
    <col min="5" max="5" width="12.85546875" bestFit="1" customWidth="1"/>
    <col min="6" max="6" width="15" bestFit="1" customWidth="1"/>
    <col min="7" max="7" width="15.5703125" bestFit="1" customWidth="1"/>
    <col min="8" max="14" width="12.42578125" bestFit="1" customWidth="1"/>
    <col min="15" max="15" width="11.5703125" bestFit="1" customWidth="1"/>
    <col min="16" max="16" width="12.42578125" bestFit="1" customWidth="1"/>
    <col min="17" max="17" width="11.5703125" bestFit="1" customWidth="1"/>
    <col min="18" max="18" width="12.28515625" bestFit="1" customWidth="1"/>
    <col min="19" max="19" width="12.42578125" bestFit="1" customWidth="1"/>
    <col min="20" max="21" width="12.28515625" bestFit="1" customWidth="1"/>
    <col min="22" max="26" width="11.42578125" bestFit="1" customWidth="1"/>
    <col min="27" max="27" width="10.85546875" bestFit="1" customWidth="1"/>
    <col min="28" max="28" width="11.42578125" bestFit="1" customWidth="1"/>
    <col min="29" max="29" width="10.85546875" bestFit="1" customWidth="1"/>
    <col min="30" max="32" width="11.85546875" bestFit="1" customWidth="1"/>
    <col min="33" max="33" width="12.42578125" bestFit="1" customWidth="1"/>
    <col min="34" max="35" width="11.7109375" bestFit="1" customWidth="1"/>
    <col min="36" max="36" width="12.42578125" bestFit="1" customWidth="1"/>
    <col min="37" max="37" width="11.7109375" bestFit="1" customWidth="1"/>
    <col min="38" max="38" width="11.42578125" bestFit="1" customWidth="1"/>
    <col min="39" max="39" width="12.42578125" bestFit="1" customWidth="1"/>
    <col min="40" max="41" width="11.42578125" bestFit="1" customWidth="1"/>
    <col min="42" max="42" width="12.42578125" bestFit="1" customWidth="1"/>
    <col min="43" max="45" width="12" bestFit="1" customWidth="1"/>
    <col min="46" max="48" width="11.7109375" bestFit="1" customWidth="1"/>
    <col min="49" max="50" width="11.28515625" bestFit="1" customWidth="1"/>
    <col min="51" max="51" width="11.42578125" bestFit="1" customWidth="1"/>
    <col min="52" max="52" width="11.28515625" bestFit="1" customWidth="1"/>
    <col min="53" max="53" width="12.42578125" bestFit="1" customWidth="1"/>
    <col min="54" max="55" width="11.7109375" bestFit="1" customWidth="1"/>
    <col min="56" max="56" width="12.42578125" bestFit="1" customWidth="1"/>
    <col min="57" max="57" width="11.7109375" bestFit="1" customWidth="1"/>
    <col min="58" max="58" width="12" bestFit="1" customWidth="1"/>
    <col min="59" max="59" width="12.42578125" bestFit="1" customWidth="1"/>
    <col min="60" max="61" width="12" bestFit="1" customWidth="1"/>
    <col min="62" max="62" width="12.42578125" bestFit="1" customWidth="1"/>
    <col min="63" max="65" width="11.5703125" bestFit="1" customWidth="1"/>
    <col min="66" max="69" width="12.28515625" bestFit="1" customWidth="1"/>
    <col min="70" max="72" width="11.42578125" bestFit="1" customWidth="1"/>
    <col min="73" max="73" width="12.42578125" bestFit="1" customWidth="1"/>
    <col min="74" max="74" width="11.42578125" bestFit="1" customWidth="1"/>
    <col min="75" max="75" width="10.85546875" bestFit="1" customWidth="1"/>
    <col min="76" max="76" width="12.42578125" bestFit="1" customWidth="1"/>
    <col min="77" max="77" width="10.85546875" bestFit="1" customWidth="1"/>
    <col min="78" max="78" width="11.85546875" bestFit="1" customWidth="1"/>
    <col min="79" max="79" width="12.42578125" bestFit="1" customWidth="1"/>
    <col min="80" max="81" width="11.7109375" bestFit="1" customWidth="1"/>
    <col min="82" max="82" width="12.42578125" bestFit="1" customWidth="1"/>
    <col min="83" max="85" width="11.7109375" bestFit="1" customWidth="1"/>
    <col min="86" max="88" width="11.42578125" bestFit="1" customWidth="1"/>
    <col min="89" max="91" width="12" bestFit="1" customWidth="1"/>
    <col min="92" max="92" width="12.42578125" bestFit="1" customWidth="1"/>
    <col min="93" max="94" width="11.7109375" bestFit="1" customWidth="1"/>
    <col min="95" max="95" width="12.42578125" bestFit="1" customWidth="1"/>
    <col min="96" max="96" width="11.7109375" bestFit="1" customWidth="1"/>
    <col min="97" max="97" width="11.28515625" bestFit="1" customWidth="1"/>
    <col min="98" max="98" width="12.42578125" bestFit="1" customWidth="1"/>
    <col min="99" max="100" width="11.28515625" bestFit="1" customWidth="1"/>
  </cols>
  <sheetData>
    <row r="4" spans="1:3" ht="19.5" x14ac:dyDescent="0.55000000000000004">
      <c r="A4" s="15" t="s">
        <v>154</v>
      </c>
      <c r="B4" s="15"/>
      <c r="C4" s="15" t="s">
        <v>138</v>
      </c>
    </row>
    <row r="5" spans="1:3" ht="19.5" x14ac:dyDescent="0.55000000000000004">
      <c r="A5" s="15" t="s">
        <v>170</v>
      </c>
      <c r="B5" s="15" t="s">
        <v>171</v>
      </c>
      <c r="C5" s="15" t="s">
        <v>146</v>
      </c>
    </row>
    <row r="6" spans="1:3" ht="19.5" x14ac:dyDescent="0.55000000000000004">
      <c r="A6" s="3" t="s">
        <v>167</v>
      </c>
      <c r="B6" s="3" t="s">
        <v>155</v>
      </c>
      <c r="C6" s="4">
        <v>1890000</v>
      </c>
    </row>
    <row r="7" spans="1:3" ht="19.5" x14ac:dyDescent="0.55000000000000004">
      <c r="A7" s="3"/>
      <c r="B7" s="3" t="s">
        <v>156</v>
      </c>
      <c r="C7" s="4">
        <v>4200000</v>
      </c>
    </row>
    <row r="8" spans="1:3" ht="19.5" x14ac:dyDescent="0.55000000000000004">
      <c r="A8" s="3"/>
      <c r="B8" s="3" t="s">
        <v>157</v>
      </c>
      <c r="C8" s="4">
        <v>1890000</v>
      </c>
    </row>
    <row r="9" spans="1:3" ht="19.5" x14ac:dyDescent="0.55000000000000004">
      <c r="A9" s="3"/>
      <c r="B9" s="3" t="s">
        <v>159</v>
      </c>
      <c r="C9" s="4">
        <v>3780000</v>
      </c>
    </row>
    <row r="10" spans="1:3" ht="19.5" x14ac:dyDescent="0.55000000000000004">
      <c r="A10" s="3"/>
      <c r="B10" s="3" t="s">
        <v>160</v>
      </c>
      <c r="C10" s="4">
        <v>2100000</v>
      </c>
    </row>
    <row r="11" spans="1:3" ht="19.5" x14ac:dyDescent="0.55000000000000004">
      <c r="A11" s="3"/>
      <c r="B11" s="3" t="s">
        <v>161</v>
      </c>
      <c r="C11" s="4">
        <v>3780000</v>
      </c>
    </row>
    <row r="12" spans="1:3" ht="19.5" x14ac:dyDescent="0.55000000000000004">
      <c r="A12" s="3"/>
      <c r="B12" s="3" t="s">
        <v>162</v>
      </c>
      <c r="C12" s="4">
        <v>4200000</v>
      </c>
    </row>
    <row r="13" spans="1:3" ht="19.5" x14ac:dyDescent="0.55000000000000004">
      <c r="A13" s="3"/>
      <c r="B13" s="3" t="s">
        <v>163</v>
      </c>
      <c r="C13" s="4">
        <v>1890000</v>
      </c>
    </row>
    <row r="14" spans="1:3" ht="19.5" x14ac:dyDescent="0.55000000000000004">
      <c r="A14" s="3"/>
      <c r="B14" s="3" t="s">
        <v>165</v>
      </c>
      <c r="C14" s="4">
        <v>3780000</v>
      </c>
    </row>
    <row r="15" spans="1:3" ht="19.5" x14ac:dyDescent="0.55000000000000004">
      <c r="A15" s="3"/>
      <c r="B15" s="3" t="s">
        <v>166</v>
      </c>
      <c r="C15" s="4">
        <v>2100000</v>
      </c>
    </row>
    <row r="16" spans="1:3" ht="19.5" x14ac:dyDescent="0.55000000000000004">
      <c r="A16" s="3" t="s">
        <v>168</v>
      </c>
      <c r="B16" s="3" t="s">
        <v>155</v>
      </c>
      <c r="C16" s="4">
        <v>5670000</v>
      </c>
    </row>
    <row r="17" spans="1:3" ht="19.5" x14ac:dyDescent="0.55000000000000004">
      <c r="A17" s="3"/>
      <c r="B17" s="3" t="s">
        <v>156</v>
      </c>
      <c r="C17" s="4">
        <v>2100000</v>
      </c>
    </row>
    <row r="18" spans="1:3" ht="19.5" x14ac:dyDescent="0.55000000000000004">
      <c r="A18" s="3"/>
      <c r="B18" s="3" t="s">
        <v>158</v>
      </c>
      <c r="C18" s="4">
        <v>2100000</v>
      </c>
    </row>
    <row r="19" spans="1:3" ht="19.5" x14ac:dyDescent="0.55000000000000004">
      <c r="A19" s="3"/>
      <c r="B19" s="3" t="s">
        <v>159</v>
      </c>
      <c r="C19" s="4">
        <v>3780000</v>
      </c>
    </row>
    <row r="20" spans="1:3" ht="19.5" x14ac:dyDescent="0.55000000000000004">
      <c r="A20" s="3"/>
      <c r="B20" s="3" t="s">
        <v>160</v>
      </c>
      <c r="C20" s="4">
        <v>4200000</v>
      </c>
    </row>
    <row r="21" spans="1:3" ht="19.5" x14ac:dyDescent="0.55000000000000004">
      <c r="A21" s="3"/>
      <c r="B21" s="3" t="s">
        <v>161</v>
      </c>
      <c r="C21" s="4">
        <v>7560000</v>
      </c>
    </row>
    <row r="22" spans="1:3" ht="19.5" x14ac:dyDescent="0.55000000000000004">
      <c r="A22" s="3"/>
      <c r="B22" s="3" t="s">
        <v>163</v>
      </c>
      <c r="C22" s="4">
        <v>1890000</v>
      </c>
    </row>
    <row r="23" spans="1:3" ht="19.5" x14ac:dyDescent="0.55000000000000004">
      <c r="A23" s="3"/>
      <c r="B23" s="3" t="s">
        <v>164</v>
      </c>
      <c r="C23" s="4">
        <v>2100000</v>
      </c>
    </row>
    <row r="24" spans="1:3" ht="19.5" x14ac:dyDescent="0.55000000000000004">
      <c r="A24" s="3"/>
      <c r="B24" s="3" t="s">
        <v>165</v>
      </c>
      <c r="C24" s="4">
        <v>1890000</v>
      </c>
    </row>
    <row r="25" spans="1:3" ht="19.5" x14ac:dyDescent="0.55000000000000004">
      <c r="A25" s="3"/>
      <c r="B25" s="3" t="s">
        <v>166</v>
      </c>
      <c r="C25" s="4">
        <v>2100000</v>
      </c>
    </row>
    <row r="26" spans="1:3" ht="19.5" x14ac:dyDescent="0.55000000000000004">
      <c r="A26" s="3" t="s">
        <v>177</v>
      </c>
      <c r="B26" s="3"/>
      <c r="C26" s="4">
        <v>63000000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4D821-D6E8-4EF7-B859-1EB054CA19B3}">
  <dimension ref="A4:C24"/>
  <sheetViews>
    <sheetView workbookViewId="0">
      <selection activeCell="B18" sqref="B18"/>
    </sheetView>
  </sheetViews>
  <sheetFormatPr defaultRowHeight="15" x14ac:dyDescent="0.25"/>
  <cols>
    <col min="1" max="1" width="23.7109375" bestFit="1" customWidth="1"/>
    <col min="2" max="2" width="25.42578125" bestFit="1" customWidth="1"/>
    <col min="3" max="3" width="17" bestFit="1" customWidth="1"/>
    <col min="4" max="4" width="20.28515625" bestFit="1" customWidth="1"/>
    <col min="5" max="5" width="12.85546875" bestFit="1" customWidth="1"/>
    <col min="6" max="6" width="15" bestFit="1" customWidth="1"/>
    <col min="7" max="7" width="15.5703125" bestFit="1" customWidth="1"/>
    <col min="8" max="14" width="12.42578125" bestFit="1" customWidth="1"/>
    <col min="15" max="15" width="11.5703125" bestFit="1" customWidth="1"/>
    <col min="16" max="16" width="12.42578125" bestFit="1" customWidth="1"/>
    <col min="17" max="17" width="11.5703125" bestFit="1" customWidth="1"/>
    <col min="18" max="18" width="12.28515625" bestFit="1" customWidth="1"/>
    <col min="19" max="19" width="12.42578125" bestFit="1" customWidth="1"/>
    <col min="20" max="21" width="12.28515625" bestFit="1" customWidth="1"/>
    <col min="22" max="26" width="11.42578125" bestFit="1" customWidth="1"/>
    <col min="27" max="27" width="10.85546875" bestFit="1" customWidth="1"/>
    <col min="28" max="28" width="11.42578125" bestFit="1" customWidth="1"/>
    <col min="29" max="29" width="10.85546875" bestFit="1" customWidth="1"/>
    <col min="30" max="32" width="11.85546875" bestFit="1" customWidth="1"/>
    <col min="33" max="33" width="12.42578125" bestFit="1" customWidth="1"/>
    <col min="34" max="35" width="11.7109375" bestFit="1" customWidth="1"/>
    <col min="36" max="36" width="12.42578125" bestFit="1" customWidth="1"/>
    <col min="37" max="37" width="11.7109375" bestFit="1" customWidth="1"/>
    <col min="38" max="38" width="11.42578125" bestFit="1" customWidth="1"/>
    <col min="39" max="39" width="12.42578125" bestFit="1" customWidth="1"/>
    <col min="40" max="41" width="11.42578125" bestFit="1" customWidth="1"/>
    <col min="42" max="42" width="12.42578125" bestFit="1" customWidth="1"/>
    <col min="43" max="45" width="12" bestFit="1" customWidth="1"/>
    <col min="46" max="48" width="11.7109375" bestFit="1" customWidth="1"/>
    <col min="49" max="50" width="11.28515625" bestFit="1" customWidth="1"/>
    <col min="51" max="51" width="11.42578125" bestFit="1" customWidth="1"/>
    <col min="52" max="52" width="11.28515625" bestFit="1" customWidth="1"/>
    <col min="53" max="53" width="12.42578125" bestFit="1" customWidth="1"/>
    <col min="54" max="55" width="11.7109375" bestFit="1" customWidth="1"/>
    <col min="56" max="56" width="12.42578125" bestFit="1" customWidth="1"/>
    <col min="57" max="57" width="11.7109375" bestFit="1" customWidth="1"/>
    <col min="58" max="58" width="12" bestFit="1" customWidth="1"/>
    <col min="59" max="59" width="12.42578125" bestFit="1" customWidth="1"/>
    <col min="60" max="61" width="12" bestFit="1" customWidth="1"/>
    <col min="62" max="62" width="12.42578125" bestFit="1" customWidth="1"/>
    <col min="63" max="65" width="11.5703125" bestFit="1" customWidth="1"/>
    <col min="66" max="69" width="12.28515625" bestFit="1" customWidth="1"/>
    <col min="70" max="72" width="11.42578125" bestFit="1" customWidth="1"/>
    <col min="73" max="73" width="12.42578125" bestFit="1" customWidth="1"/>
    <col min="74" max="74" width="11.42578125" bestFit="1" customWidth="1"/>
    <col min="75" max="75" width="10.85546875" bestFit="1" customWidth="1"/>
    <col min="76" max="76" width="12.42578125" bestFit="1" customWidth="1"/>
    <col min="77" max="77" width="10.85546875" bestFit="1" customWidth="1"/>
    <col min="78" max="78" width="11.85546875" bestFit="1" customWidth="1"/>
    <col min="79" max="79" width="12.42578125" bestFit="1" customWidth="1"/>
    <col min="80" max="81" width="11.7109375" bestFit="1" customWidth="1"/>
    <col min="82" max="82" width="12.42578125" bestFit="1" customWidth="1"/>
    <col min="83" max="85" width="11.7109375" bestFit="1" customWidth="1"/>
    <col min="86" max="88" width="11.42578125" bestFit="1" customWidth="1"/>
    <col min="89" max="91" width="12" bestFit="1" customWidth="1"/>
    <col min="92" max="92" width="12.42578125" bestFit="1" customWidth="1"/>
    <col min="93" max="94" width="11.7109375" bestFit="1" customWidth="1"/>
    <col min="95" max="95" width="12.42578125" bestFit="1" customWidth="1"/>
    <col min="96" max="96" width="11.7109375" bestFit="1" customWidth="1"/>
    <col min="97" max="97" width="11.28515625" bestFit="1" customWidth="1"/>
    <col min="98" max="98" width="12.42578125" bestFit="1" customWidth="1"/>
    <col min="99" max="100" width="11.28515625" bestFit="1" customWidth="1"/>
  </cols>
  <sheetData>
    <row r="4" spans="1:3" ht="19.5" x14ac:dyDescent="0.55000000000000004">
      <c r="A4" s="15" t="s">
        <v>154</v>
      </c>
      <c r="B4" s="15"/>
      <c r="C4" s="15" t="s">
        <v>138</v>
      </c>
    </row>
    <row r="5" spans="1:3" ht="19.5" x14ac:dyDescent="0.55000000000000004">
      <c r="A5" s="15" t="s">
        <v>170</v>
      </c>
      <c r="B5" s="15" t="s">
        <v>171</v>
      </c>
      <c r="C5" s="15" t="s">
        <v>141</v>
      </c>
    </row>
    <row r="6" spans="1:3" ht="19.5" x14ac:dyDescent="0.55000000000000004">
      <c r="A6" s="3" t="s">
        <v>167</v>
      </c>
      <c r="B6" s="3" t="s">
        <v>155</v>
      </c>
      <c r="C6" s="4">
        <v>22500000</v>
      </c>
    </row>
    <row r="7" spans="1:3" ht="19.5" x14ac:dyDescent="0.55000000000000004">
      <c r="A7" s="3"/>
      <c r="B7" s="3" t="s">
        <v>157</v>
      </c>
      <c r="C7" s="4">
        <v>11250000</v>
      </c>
    </row>
    <row r="8" spans="1:3" ht="19.5" x14ac:dyDescent="0.55000000000000004">
      <c r="A8" s="3"/>
      <c r="B8" s="3" t="s">
        <v>158</v>
      </c>
      <c r="C8" s="4">
        <v>25000000</v>
      </c>
    </row>
    <row r="9" spans="1:3" ht="19.5" x14ac:dyDescent="0.55000000000000004">
      <c r="A9" s="3"/>
      <c r="B9" s="3" t="s">
        <v>159</v>
      </c>
      <c r="C9" s="4">
        <v>22500000</v>
      </c>
    </row>
    <row r="10" spans="1:3" ht="19.5" x14ac:dyDescent="0.55000000000000004">
      <c r="A10" s="3"/>
      <c r="B10" s="3" t="s">
        <v>162</v>
      </c>
      <c r="C10" s="4">
        <v>25000000</v>
      </c>
    </row>
    <row r="11" spans="1:3" ht="19.5" x14ac:dyDescent="0.55000000000000004">
      <c r="A11" s="3"/>
      <c r="B11" s="3" t="s">
        <v>163</v>
      </c>
      <c r="C11" s="4">
        <v>11250000</v>
      </c>
    </row>
    <row r="12" spans="1:3" ht="19.5" x14ac:dyDescent="0.55000000000000004">
      <c r="A12" s="3"/>
      <c r="B12" s="3" t="s">
        <v>164</v>
      </c>
      <c r="C12" s="4">
        <v>12500000</v>
      </c>
    </row>
    <row r="13" spans="1:3" ht="19.5" x14ac:dyDescent="0.55000000000000004">
      <c r="A13" s="3"/>
      <c r="B13" s="3" t="s">
        <v>165</v>
      </c>
      <c r="C13" s="4">
        <v>11250000</v>
      </c>
    </row>
    <row r="14" spans="1:3" ht="19.5" x14ac:dyDescent="0.55000000000000004">
      <c r="A14" s="3" t="s">
        <v>168</v>
      </c>
      <c r="B14" s="3" t="s">
        <v>155</v>
      </c>
      <c r="C14" s="4">
        <v>11250000</v>
      </c>
    </row>
    <row r="15" spans="1:3" ht="19.5" x14ac:dyDescent="0.55000000000000004">
      <c r="A15" s="3"/>
      <c r="B15" s="3" t="s">
        <v>156</v>
      </c>
      <c r="C15" s="4">
        <v>12500000</v>
      </c>
    </row>
    <row r="16" spans="1:3" ht="19.5" x14ac:dyDescent="0.55000000000000004">
      <c r="A16" s="3"/>
      <c r="B16" s="3" t="s">
        <v>157</v>
      </c>
      <c r="C16" s="4">
        <v>11250000</v>
      </c>
    </row>
    <row r="17" spans="1:3" ht="19.5" x14ac:dyDescent="0.55000000000000004">
      <c r="A17" s="3"/>
      <c r="B17" s="3" t="s">
        <v>158</v>
      </c>
      <c r="C17" s="4">
        <v>12500000</v>
      </c>
    </row>
    <row r="18" spans="1:3" ht="19.5" x14ac:dyDescent="0.55000000000000004">
      <c r="A18" s="3"/>
      <c r="B18" s="3" t="s">
        <v>160</v>
      </c>
      <c r="C18" s="4">
        <v>12500000</v>
      </c>
    </row>
    <row r="19" spans="1:3" ht="19.5" x14ac:dyDescent="0.55000000000000004">
      <c r="A19" s="3"/>
      <c r="B19" s="3" t="s">
        <v>161</v>
      </c>
      <c r="C19" s="4">
        <v>11250000</v>
      </c>
    </row>
    <row r="20" spans="1:3" ht="19.5" x14ac:dyDescent="0.55000000000000004">
      <c r="A20" s="3"/>
      <c r="B20" s="3" t="s">
        <v>163</v>
      </c>
      <c r="C20" s="4">
        <v>23750000</v>
      </c>
    </row>
    <row r="21" spans="1:3" ht="19.5" x14ac:dyDescent="0.55000000000000004">
      <c r="A21" s="3"/>
      <c r="B21" s="3" t="s">
        <v>165</v>
      </c>
      <c r="C21" s="4">
        <v>11250000</v>
      </c>
    </row>
    <row r="22" spans="1:3" ht="19.5" x14ac:dyDescent="0.55000000000000004">
      <c r="A22" s="3"/>
      <c r="B22" s="3" t="s">
        <v>166</v>
      </c>
      <c r="C22" s="4">
        <v>12500000</v>
      </c>
    </row>
    <row r="23" spans="1:3" ht="19.5" x14ac:dyDescent="0.55000000000000004">
      <c r="A23" s="3" t="s">
        <v>169</v>
      </c>
      <c r="B23" s="3" t="s">
        <v>155</v>
      </c>
      <c r="C23" s="4">
        <v>22500000</v>
      </c>
    </row>
    <row r="24" spans="1:3" ht="19.5" x14ac:dyDescent="0.55000000000000004">
      <c r="A24" s="3" t="s">
        <v>177</v>
      </c>
      <c r="B24" s="3"/>
      <c r="C24" s="4">
        <v>282500000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DC75-62A9-445C-8812-46387C708B31}">
  <dimension ref="A4:C25"/>
  <sheetViews>
    <sheetView topLeftCell="A10" workbookViewId="0">
      <selection activeCell="C19" sqref="C19"/>
    </sheetView>
  </sheetViews>
  <sheetFormatPr defaultRowHeight="15" x14ac:dyDescent="0.25"/>
  <cols>
    <col min="1" max="1" width="23.7109375" bestFit="1" customWidth="1"/>
    <col min="2" max="2" width="25.42578125" bestFit="1" customWidth="1"/>
    <col min="3" max="3" width="17" bestFit="1" customWidth="1"/>
    <col min="4" max="4" width="20.28515625" bestFit="1" customWidth="1"/>
    <col min="5" max="5" width="12.85546875" bestFit="1" customWidth="1"/>
    <col min="6" max="6" width="15" bestFit="1" customWidth="1"/>
    <col min="7" max="7" width="15.5703125" bestFit="1" customWidth="1"/>
    <col min="8" max="14" width="12.42578125" bestFit="1" customWidth="1"/>
    <col min="15" max="15" width="11.5703125" bestFit="1" customWidth="1"/>
    <col min="16" max="16" width="12.42578125" bestFit="1" customWidth="1"/>
    <col min="17" max="17" width="11.5703125" bestFit="1" customWidth="1"/>
    <col min="18" max="18" width="12.28515625" bestFit="1" customWidth="1"/>
    <col min="19" max="19" width="12.42578125" bestFit="1" customWidth="1"/>
    <col min="20" max="21" width="12.28515625" bestFit="1" customWidth="1"/>
    <col min="22" max="26" width="11.42578125" bestFit="1" customWidth="1"/>
    <col min="27" max="27" width="10.85546875" bestFit="1" customWidth="1"/>
    <col min="28" max="28" width="11.42578125" bestFit="1" customWidth="1"/>
    <col min="29" max="29" width="10.85546875" bestFit="1" customWidth="1"/>
    <col min="30" max="32" width="11.85546875" bestFit="1" customWidth="1"/>
    <col min="33" max="33" width="12.42578125" bestFit="1" customWidth="1"/>
    <col min="34" max="35" width="11.7109375" bestFit="1" customWidth="1"/>
    <col min="36" max="36" width="12.42578125" bestFit="1" customWidth="1"/>
    <col min="37" max="37" width="11.7109375" bestFit="1" customWidth="1"/>
    <col min="38" max="38" width="11.42578125" bestFit="1" customWidth="1"/>
    <col min="39" max="39" width="12.42578125" bestFit="1" customWidth="1"/>
    <col min="40" max="41" width="11.42578125" bestFit="1" customWidth="1"/>
    <col min="42" max="42" width="12.42578125" bestFit="1" customWidth="1"/>
    <col min="43" max="45" width="12" bestFit="1" customWidth="1"/>
    <col min="46" max="48" width="11.7109375" bestFit="1" customWidth="1"/>
    <col min="49" max="50" width="11.28515625" bestFit="1" customWidth="1"/>
    <col min="51" max="51" width="11.42578125" bestFit="1" customWidth="1"/>
    <col min="52" max="52" width="11.28515625" bestFit="1" customWidth="1"/>
    <col min="53" max="53" width="12.42578125" bestFit="1" customWidth="1"/>
    <col min="54" max="55" width="11.7109375" bestFit="1" customWidth="1"/>
    <col min="56" max="56" width="12.42578125" bestFit="1" customWidth="1"/>
    <col min="57" max="57" width="11.7109375" bestFit="1" customWidth="1"/>
    <col min="58" max="58" width="12" bestFit="1" customWidth="1"/>
    <col min="59" max="59" width="12.42578125" bestFit="1" customWidth="1"/>
    <col min="60" max="61" width="12" bestFit="1" customWidth="1"/>
    <col min="62" max="62" width="12.42578125" bestFit="1" customWidth="1"/>
    <col min="63" max="65" width="11.5703125" bestFit="1" customWidth="1"/>
    <col min="66" max="69" width="12.28515625" bestFit="1" customWidth="1"/>
    <col min="70" max="72" width="11.42578125" bestFit="1" customWidth="1"/>
    <col min="73" max="73" width="12.42578125" bestFit="1" customWidth="1"/>
    <col min="74" max="74" width="11.42578125" bestFit="1" customWidth="1"/>
    <col min="75" max="75" width="10.85546875" bestFit="1" customWidth="1"/>
    <col min="76" max="76" width="12.42578125" bestFit="1" customWidth="1"/>
    <col min="77" max="77" width="10.85546875" bestFit="1" customWidth="1"/>
    <col min="78" max="78" width="11.85546875" bestFit="1" customWidth="1"/>
    <col min="79" max="79" width="12.42578125" bestFit="1" customWidth="1"/>
    <col min="80" max="81" width="11.7109375" bestFit="1" customWidth="1"/>
    <col min="82" max="82" width="12.42578125" bestFit="1" customWidth="1"/>
    <col min="83" max="85" width="11.7109375" bestFit="1" customWidth="1"/>
    <col min="86" max="88" width="11.42578125" bestFit="1" customWidth="1"/>
    <col min="89" max="91" width="12" bestFit="1" customWidth="1"/>
    <col min="92" max="92" width="12.42578125" bestFit="1" customWidth="1"/>
    <col min="93" max="94" width="11.7109375" bestFit="1" customWidth="1"/>
    <col min="95" max="95" width="12.42578125" bestFit="1" customWidth="1"/>
    <col min="96" max="96" width="11.7109375" bestFit="1" customWidth="1"/>
    <col min="97" max="97" width="11.28515625" bestFit="1" customWidth="1"/>
    <col min="98" max="98" width="12.42578125" bestFit="1" customWidth="1"/>
    <col min="99" max="100" width="11.28515625" bestFit="1" customWidth="1"/>
  </cols>
  <sheetData>
    <row r="4" spans="1:3" ht="19.5" x14ac:dyDescent="0.55000000000000004">
      <c r="A4" s="15" t="s">
        <v>154</v>
      </c>
      <c r="B4" s="15"/>
      <c r="C4" s="15" t="s">
        <v>138</v>
      </c>
    </row>
    <row r="5" spans="1:3" ht="19.5" x14ac:dyDescent="0.55000000000000004">
      <c r="A5" s="15" t="s">
        <v>170</v>
      </c>
      <c r="B5" s="15" t="s">
        <v>171</v>
      </c>
      <c r="C5" s="15" t="s">
        <v>143</v>
      </c>
    </row>
    <row r="6" spans="1:3" ht="19.5" x14ac:dyDescent="0.55000000000000004">
      <c r="A6" s="3" t="s">
        <v>167</v>
      </c>
      <c r="B6" s="3" t="s">
        <v>155</v>
      </c>
      <c r="C6" s="4">
        <v>150000</v>
      </c>
    </row>
    <row r="7" spans="1:3" ht="19.5" x14ac:dyDescent="0.55000000000000004">
      <c r="A7" s="3"/>
      <c r="B7" s="3" t="s">
        <v>156</v>
      </c>
      <c r="C7" s="4">
        <v>150000</v>
      </c>
    </row>
    <row r="8" spans="1:3" ht="19.5" x14ac:dyDescent="0.55000000000000004">
      <c r="A8" s="3"/>
      <c r="B8" s="3" t="s">
        <v>158</v>
      </c>
      <c r="C8" s="4">
        <v>450000</v>
      </c>
    </row>
    <row r="9" spans="1:3" ht="19.5" x14ac:dyDescent="0.55000000000000004">
      <c r="A9" s="3"/>
      <c r="B9" s="3" t="s">
        <v>159</v>
      </c>
      <c r="C9" s="4">
        <v>450000</v>
      </c>
    </row>
    <row r="10" spans="1:3" ht="19.5" x14ac:dyDescent="0.55000000000000004">
      <c r="A10" s="3"/>
      <c r="B10" s="3" t="s">
        <v>160</v>
      </c>
      <c r="C10" s="4">
        <v>450000</v>
      </c>
    </row>
    <row r="11" spans="1:3" ht="19.5" x14ac:dyDescent="0.55000000000000004">
      <c r="A11" s="3"/>
      <c r="B11" s="3" t="s">
        <v>161</v>
      </c>
      <c r="C11" s="4">
        <v>1350000</v>
      </c>
    </row>
    <row r="12" spans="1:3" ht="19.5" x14ac:dyDescent="0.55000000000000004">
      <c r="A12" s="3"/>
      <c r="B12" s="3" t="s">
        <v>163</v>
      </c>
      <c r="C12" s="4">
        <v>750000</v>
      </c>
    </row>
    <row r="13" spans="1:3" ht="19.5" x14ac:dyDescent="0.55000000000000004">
      <c r="A13" s="3"/>
      <c r="B13" s="3" t="s">
        <v>164</v>
      </c>
      <c r="C13" s="4">
        <v>600000</v>
      </c>
    </row>
    <row r="14" spans="1:3" ht="19.5" x14ac:dyDescent="0.55000000000000004">
      <c r="A14" s="3"/>
      <c r="B14" s="3" t="s">
        <v>165</v>
      </c>
      <c r="C14" s="4">
        <v>300000</v>
      </c>
    </row>
    <row r="15" spans="1:3" ht="19.5" x14ac:dyDescent="0.55000000000000004">
      <c r="A15" s="3"/>
      <c r="B15" s="3" t="s">
        <v>166</v>
      </c>
      <c r="C15" s="4">
        <v>600000</v>
      </c>
    </row>
    <row r="16" spans="1:3" ht="19.5" x14ac:dyDescent="0.55000000000000004">
      <c r="A16" s="3" t="s">
        <v>168</v>
      </c>
      <c r="B16" s="3" t="s">
        <v>156</v>
      </c>
      <c r="C16" s="4">
        <v>600000</v>
      </c>
    </row>
    <row r="17" spans="1:3" ht="19.5" x14ac:dyDescent="0.55000000000000004">
      <c r="A17" s="3"/>
      <c r="B17" s="3" t="s">
        <v>157</v>
      </c>
      <c r="C17" s="4">
        <v>750000</v>
      </c>
    </row>
    <row r="18" spans="1:3" ht="19.5" x14ac:dyDescent="0.55000000000000004">
      <c r="A18" s="3"/>
      <c r="B18" s="3" t="s">
        <v>158</v>
      </c>
      <c r="C18" s="4">
        <v>600000</v>
      </c>
    </row>
    <row r="19" spans="1:3" ht="19.5" x14ac:dyDescent="0.55000000000000004">
      <c r="A19" s="3"/>
      <c r="B19" s="3" t="s">
        <v>159</v>
      </c>
      <c r="C19" s="4">
        <v>300000</v>
      </c>
    </row>
    <row r="20" spans="1:3" ht="19.5" x14ac:dyDescent="0.55000000000000004">
      <c r="A20" s="3"/>
      <c r="B20" s="3" t="s">
        <v>161</v>
      </c>
      <c r="C20" s="4">
        <v>450000</v>
      </c>
    </row>
    <row r="21" spans="1:3" ht="19.5" x14ac:dyDescent="0.55000000000000004">
      <c r="A21" s="3"/>
      <c r="B21" s="3" t="s">
        <v>163</v>
      </c>
      <c r="C21" s="4">
        <v>1200000</v>
      </c>
    </row>
    <row r="22" spans="1:3" ht="19.5" x14ac:dyDescent="0.55000000000000004">
      <c r="A22" s="3"/>
      <c r="B22" s="3" t="s">
        <v>164</v>
      </c>
      <c r="C22" s="4">
        <v>750000</v>
      </c>
    </row>
    <row r="23" spans="1:3" ht="19.5" x14ac:dyDescent="0.55000000000000004">
      <c r="A23" s="3"/>
      <c r="B23" s="3" t="s">
        <v>166</v>
      </c>
      <c r="C23" s="4">
        <v>600000</v>
      </c>
    </row>
    <row r="24" spans="1:3" ht="19.5" x14ac:dyDescent="0.55000000000000004">
      <c r="A24" s="3" t="s">
        <v>169</v>
      </c>
      <c r="B24" s="3" t="s">
        <v>155</v>
      </c>
      <c r="C24" s="4">
        <v>600000</v>
      </c>
    </row>
    <row r="25" spans="1:3" ht="19.5" x14ac:dyDescent="0.55000000000000004">
      <c r="A25" s="3" t="s">
        <v>177</v>
      </c>
      <c r="B25" s="3"/>
      <c r="C25" s="4">
        <v>11100000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00634-A21C-47D6-ADAE-DC62851CDC72}">
  <dimension ref="A4:B6"/>
  <sheetViews>
    <sheetView workbookViewId="0">
      <selection activeCell="H11" sqref="H11"/>
    </sheetView>
  </sheetViews>
  <sheetFormatPr defaultRowHeight="15" x14ac:dyDescent="0.25"/>
  <cols>
    <col min="1" max="1" width="11.85546875" bestFit="1" customWidth="1"/>
    <col min="2" max="2" width="19.85546875" bestFit="1" customWidth="1"/>
    <col min="3" max="3" width="15.5703125" bestFit="1" customWidth="1"/>
    <col min="4" max="4" width="20.28515625" bestFit="1" customWidth="1"/>
    <col min="5" max="5" width="12.85546875" bestFit="1" customWidth="1"/>
    <col min="6" max="6" width="15" bestFit="1" customWidth="1"/>
    <col min="7" max="7" width="15.5703125" bestFit="1" customWidth="1"/>
    <col min="8" max="14" width="12.42578125" bestFit="1" customWidth="1"/>
    <col min="15" max="15" width="11.5703125" bestFit="1" customWidth="1"/>
    <col min="16" max="16" width="12.42578125" bestFit="1" customWidth="1"/>
    <col min="17" max="17" width="11.5703125" bestFit="1" customWidth="1"/>
    <col min="18" max="18" width="12.28515625" bestFit="1" customWidth="1"/>
    <col min="19" max="19" width="12.42578125" bestFit="1" customWidth="1"/>
    <col min="20" max="21" width="12.28515625" bestFit="1" customWidth="1"/>
    <col min="22" max="26" width="11.42578125" bestFit="1" customWidth="1"/>
    <col min="27" max="27" width="10.85546875" bestFit="1" customWidth="1"/>
    <col min="28" max="28" width="11.42578125" bestFit="1" customWidth="1"/>
    <col min="29" max="29" width="10.85546875" bestFit="1" customWidth="1"/>
    <col min="30" max="32" width="11.85546875" bestFit="1" customWidth="1"/>
    <col min="33" max="33" width="12.42578125" bestFit="1" customWidth="1"/>
    <col min="34" max="35" width="11.7109375" bestFit="1" customWidth="1"/>
    <col min="36" max="36" width="12.42578125" bestFit="1" customWidth="1"/>
    <col min="37" max="37" width="11.7109375" bestFit="1" customWidth="1"/>
    <col min="38" max="38" width="11.42578125" bestFit="1" customWidth="1"/>
    <col min="39" max="39" width="12.42578125" bestFit="1" customWidth="1"/>
    <col min="40" max="41" width="11.42578125" bestFit="1" customWidth="1"/>
    <col min="42" max="42" width="12.42578125" bestFit="1" customWidth="1"/>
    <col min="43" max="45" width="12" bestFit="1" customWidth="1"/>
    <col min="46" max="48" width="11.7109375" bestFit="1" customWidth="1"/>
    <col min="49" max="50" width="11.28515625" bestFit="1" customWidth="1"/>
    <col min="51" max="51" width="11.42578125" bestFit="1" customWidth="1"/>
    <col min="52" max="52" width="11.28515625" bestFit="1" customWidth="1"/>
    <col min="53" max="53" width="12.42578125" bestFit="1" customWidth="1"/>
    <col min="54" max="55" width="11.7109375" bestFit="1" customWidth="1"/>
    <col min="56" max="56" width="12.42578125" bestFit="1" customWidth="1"/>
    <col min="57" max="57" width="11.7109375" bestFit="1" customWidth="1"/>
    <col min="58" max="58" width="12" bestFit="1" customWidth="1"/>
    <col min="59" max="59" width="12.42578125" bestFit="1" customWidth="1"/>
    <col min="60" max="61" width="12" bestFit="1" customWidth="1"/>
    <col min="62" max="62" width="12.42578125" bestFit="1" customWidth="1"/>
    <col min="63" max="65" width="11.5703125" bestFit="1" customWidth="1"/>
    <col min="66" max="69" width="12.28515625" bestFit="1" customWidth="1"/>
    <col min="70" max="72" width="11.42578125" bestFit="1" customWidth="1"/>
    <col min="73" max="73" width="12.42578125" bestFit="1" customWidth="1"/>
    <col min="74" max="74" width="11.42578125" bestFit="1" customWidth="1"/>
    <col min="75" max="75" width="10.85546875" bestFit="1" customWidth="1"/>
    <col min="76" max="76" width="12.42578125" bestFit="1" customWidth="1"/>
    <col min="77" max="77" width="10.85546875" bestFit="1" customWidth="1"/>
    <col min="78" max="78" width="11.85546875" bestFit="1" customWidth="1"/>
    <col min="79" max="79" width="12.42578125" bestFit="1" customWidth="1"/>
    <col min="80" max="81" width="11.7109375" bestFit="1" customWidth="1"/>
    <col min="82" max="82" width="12.42578125" bestFit="1" customWidth="1"/>
    <col min="83" max="85" width="11.7109375" bestFit="1" customWidth="1"/>
    <col min="86" max="88" width="11.42578125" bestFit="1" customWidth="1"/>
    <col min="89" max="91" width="12" bestFit="1" customWidth="1"/>
    <col min="92" max="92" width="12.42578125" bestFit="1" customWidth="1"/>
    <col min="93" max="94" width="11.7109375" bestFit="1" customWidth="1"/>
    <col min="95" max="95" width="12.42578125" bestFit="1" customWidth="1"/>
    <col min="96" max="96" width="11.7109375" bestFit="1" customWidth="1"/>
    <col min="97" max="97" width="11.28515625" bestFit="1" customWidth="1"/>
    <col min="98" max="98" width="12.42578125" bestFit="1" customWidth="1"/>
    <col min="99" max="100" width="11.28515625" bestFit="1" customWidth="1"/>
  </cols>
  <sheetData>
    <row r="4" spans="1:2" ht="19.5" x14ac:dyDescent="0.55000000000000004">
      <c r="A4" s="15" t="s">
        <v>140</v>
      </c>
      <c r="B4" s="15" t="s">
        <v>154</v>
      </c>
    </row>
    <row r="5" spans="1:2" ht="19.5" x14ac:dyDescent="0.55000000000000004">
      <c r="A5" s="3" t="s">
        <v>144</v>
      </c>
      <c r="B5" s="4">
        <v>35060000</v>
      </c>
    </row>
    <row r="6" spans="1:2" ht="19.5" x14ac:dyDescent="0.55000000000000004">
      <c r="A6" s="3" t="s">
        <v>142</v>
      </c>
      <c r="B6" s="4">
        <v>345500000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3263D-AE49-4F86-B1E0-8D0187B631D6}">
  <dimension ref="A4:B9"/>
  <sheetViews>
    <sheetView workbookViewId="0">
      <selection activeCell="I20" sqref="I20"/>
    </sheetView>
  </sheetViews>
  <sheetFormatPr defaultRowHeight="15" x14ac:dyDescent="0.25"/>
  <cols>
    <col min="1" max="1" width="15" bestFit="1" customWidth="1"/>
    <col min="2" max="2" width="19.85546875" bestFit="1" customWidth="1"/>
    <col min="3" max="3" width="15.5703125" bestFit="1" customWidth="1"/>
    <col min="4" max="4" width="20.28515625" bestFit="1" customWidth="1"/>
    <col min="5" max="5" width="12.85546875" bestFit="1" customWidth="1"/>
    <col min="6" max="6" width="15" bestFit="1" customWidth="1"/>
    <col min="7" max="7" width="15.5703125" bestFit="1" customWidth="1"/>
    <col min="8" max="14" width="12.42578125" bestFit="1" customWidth="1"/>
    <col min="15" max="15" width="11.5703125" bestFit="1" customWidth="1"/>
    <col min="16" max="16" width="12.42578125" bestFit="1" customWidth="1"/>
    <col min="17" max="17" width="11.5703125" bestFit="1" customWidth="1"/>
    <col min="18" max="18" width="12.28515625" bestFit="1" customWidth="1"/>
    <col min="19" max="19" width="12.42578125" bestFit="1" customWidth="1"/>
    <col min="20" max="21" width="12.28515625" bestFit="1" customWidth="1"/>
    <col min="22" max="26" width="11.42578125" bestFit="1" customWidth="1"/>
    <col min="27" max="27" width="10.85546875" bestFit="1" customWidth="1"/>
    <col min="28" max="28" width="11.42578125" bestFit="1" customWidth="1"/>
    <col min="29" max="29" width="10.85546875" bestFit="1" customWidth="1"/>
    <col min="30" max="32" width="11.85546875" bestFit="1" customWidth="1"/>
    <col min="33" max="33" width="12.42578125" bestFit="1" customWidth="1"/>
    <col min="34" max="35" width="11.7109375" bestFit="1" customWidth="1"/>
    <col min="36" max="36" width="12.42578125" bestFit="1" customWidth="1"/>
    <col min="37" max="37" width="11.7109375" bestFit="1" customWidth="1"/>
    <col min="38" max="38" width="11.42578125" bestFit="1" customWidth="1"/>
    <col min="39" max="39" width="12.42578125" bestFit="1" customWidth="1"/>
    <col min="40" max="41" width="11.42578125" bestFit="1" customWidth="1"/>
    <col min="42" max="42" width="12.42578125" bestFit="1" customWidth="1"/>
    <col min="43" max="45" width="12" bestFit="1" customWidth="1"/>
    <col min="46" max="48" width="11.7109375" bestFit="1" customWidth="1"/>
    <col min="49" max="50" width="11.28515625" bestFit="1" customWidth="1"/>
    <col min="51" max="51" width="11.42578125" bestFit="1" customWidth="1"/>
    <col min="52" max="52" width="11.28515625" bestFit="1" customWidth="1"/>
    <col min="53" max="53" width="12.42578125" bestFit="1" customWidth="1"/>
    <col min="54" max="55" width="11.7109375" bestFit="1" customWidth="1"/>
    <col min="56" max="56" width="12.42578125" bestFit="1" customWidth="1"/>
    <col min="57" max="57" width="11.7109375" bestFit="1" customWidth="1"/>
    <col min="58" max="58" width="12" bestFit="1" customWidth="1"/>
    <col min="59" max="59" width="12.42578125" bestFit="1" customWidth="1"/>
    <col min="60" max="61" width="12" bestFit="1" customWidth="1"/>
    <col min="62" max="62" width="12.42578125" bestFit="1" customWidth="1"/>
    <col min="63" max="65" width="11.5703125" bestFit="1" customWidth="1"/>
    <col min="66" max="69" width="12.28515625" bestFit="1" customWidth="1"/>
    <col min="70" max="72" width="11.42578125" bestFit="1" customWidth="1"/>
    <col min="73" max="73" width="12.42578125" bestFit="1" customWidth="1"/>
    <col min="74" max="74" width="11.42578125" bestFit="1" customWidth="1"/>
    <col min="75" max="75" width="10.85546875" bestFit="1" customWidth="1"/>
    <col min="76" max="76" width="12.42578125" bestFit="1" customWidth="1"/>
    <col min="77" max="77" width="10.85546875" bestFit="1" customWidth="1"/>
    <col min="78" max="78" width="11.85546875" bestFit="1" customWidth="1"/>
    <col min="79" max="79" width="12.42578125" bestFit="1" customWidth="1"/>
    <col min="80" max="81" width="11.7109375" bestFit="1" customWidth="1"/>
    <col min="82" max="82" width="12.42578125" bestFit="1" customWidth="1"/>
    <col min="83" max="85" width="11.7109375" bestFit="1" customWidth="1"/>
    <col min="86" max="88" width="11.42578125" bestFit="1" customWidth="1"/>
    <col min="89" max="91" width="12" bestFit="1" customWidth="1"/>
    <col min="92" max="92" width="12.42578125" bestFit="1" customWidth="1"/>
    <col min="93" max="94" width="11.7109375" bestFit="1" customWidth="1"/>
    <col min="95" max="95" width="12.42578125" bestFit="1" customWidth="1"/>
    <col min="96" max="96" width="11.7109375" bestFit="1" customWidth="1"/>
    <col min="97" max="97" width="11.28515625" bestFit="1" customWidth="1"/>
    <col min="98" max="98" width="12.42578125" bestFit="1" customWidth="1"/>
    <col min="99" max="100" width="11.28515625" bestFit="1" customWidth="1"/>
  </cols>
  <sheetData>
    <row r="4" spans="1:2" ht="19.5" x14ac:dyDescent="0.55000000000000004">
      <c r="A4" s="12" t="s">
        <v>1</v>
      </c>
      <c r="B4" s="3" t="s">
        <v>154</v>
      </c>
    </row>
    <row r="5" spans="1:2" ht="19.5" x14ac:dyDescent="0.55000000000000004">
      <c r="A5" s="3" t="s">
        <v>172</v>
      </c>
      <c r="B5" s="4">
        <v>24990000</v>
      </c>
    </row>
    <row r="6" spans="1:2" ht="19.5" x14ac:dyDescent="0.55000000000000004">
      <c r="A6" s="3" t="s">
        <v>173</v>
      </c>
      <c r="B6" s="4">
        <v>25830000</v>
      </c>
    </row>
    <row r="7" spans="1:2" ht="19.5" x14ac:dyDescent="0.55000000000000004">
      <c r="A7" s="3" t="s">
        <v>20</v>
      </c>
      <c r="B7" s="4">
        <v>27630000</v>
      </c>
    </row>
    <row r="8" spans="1:2" ht="19.5" x14ac:dyDescent="0.55000000000000004">
      <c r="A8" s="3" t="s">
        <v>174</v>
      </c>
      <c r="B8" s="4">
        <v>30575000</v>
      </c>
    </row>
    <row r="9" spans="1:2" ht="19.5" x14ac:dyDescent="0.55000000000000004">
      <c r="A9" s="3" t="s">
        <v>175</v>
      </c>
      <c r="B9" s="4">
        <v>24950000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19216-5F87-4B0C-9B3B-487C895912AD}">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B0D6F-D1D0-42F3-A0C5-93D063D9693B}">
  <dimension ref="A1:AA56"/>
  <sheetViews>
    <sheetView tabSelected="1" zoomScale="40" zoomScaleNormal="40" workbookViewId="0">
      <selection activeCell="AB50" sqref="AB50"/>
    </sheetView>
  </sheetViews>
  <sheetFormatPr defaultRowHeight="15" x14ac:dyDescent="0.25"/>
  <cols>
    <col min="9" max="9" width="1.140625" customWidth="1"/>
    <col min="17" max="17" width="9.140625" customWidth="1"/>
    <col min="18" max="18" width="1.140625" customWidth="1"/>
    <col min="22" max="22" width="9.140625" customWidth="1"/>
    <col min="23" max="23" width="1.140625" customWidth="1"/>
  </cols>
  <sheetData>
    <row r="1" spans="1:27" ht="15" customHeight="1" x14ac:dyDescent="0.25">
      <c r="A1" s="16" t="s">
        <v>176</v>
      </c>
      <c r="B1" s="16"/>
      <c r="C1" s="16"/>
      <c r="D1" s="16"/>
      <c r="E1" s="16"/>
      <c r="F1" s="16"/>
      <c r="G1" s="16"/>
      <c r="H1" s="16"/>
      <c r="I1" s="16"/>
      <c r="J1" s="16"/>
      <c r="K1" s="16"/>
      <c r="L1" s="16"/>
      <c r="M1" s="16"/>
      <c r="N1" s="16"/>
      <c r="O1" s="16"/>
      <c r="P1" s="16"/>
      <c r="Q1" s="16"/>
      <c r="R1" s="16"/>
      <c r="S1" s="16"/>
      <c r="T1" s="16"/>
      <c r="U1" s="16"/>
      <c r="V1" s="16"/>
      <c r="W1" s="16"/>
      <c r="X1" s="16"/>
      <c r="Y1" s="16"/>
      <c r="Z1" s="16"/>
      <c r="AA1" s="16"/>
    </row>
    <row r="2" spans="1:27" ht="15" customHeight="1"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row>
    <row r="3" spans="1:27" ht="15" customHeight="1"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row>
    <row r="4" spans="1:27" ht="15" customHeight="1" x14ac:dyDescent="0.25">
      <c r="A4" s="16"/>
      <c r="B4" s="16"/>
      <c r="C4" s="16"/>
      <c r="D4" s="16"/>
      <c r="E4" s="16"/>
      <c r="F4" s="16"/>
      <c r="G4" s="16"/>
      <c r="H4" s="16"/>
      <c r="I4" s="16"/>
      <c r="J4" s="16"/>
      <c r="K4" s="16"/>
      <c r="L4" s="16"/>
      <c r="M4" s="16"/>
      <c r="N4" s="16"/>
      <c r="O4" s="16"/>
      <c r="P4" s="16"/>
      <c r="Q4" s="16"/>
      <c r="R4" s="16"/>
      <c r="S4" s="16"/>
      <c r="T4" s="16"/>
      <c r="U4" s="16"/>
      <c r="V4" s="16"/>
      <c r="W4" s="16"/>
      <c r="X4" s="16"/>
      <c r="Y4" s="16"/>
      <c r="Z4" s="16"/>
      <c r="AA4" s="16"/>
    </row>
    <row r="5" spans="1:27" ht="15" customHeight="1"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row>
    <row r="6" spans="1:27" ht="5.0999999999999996" customHeight="1" x14ac:dyDescent="0.25"/>
    <row r="14" spans="1:27" ht="5.0999999999999996" customHeight="1" x14ac:dyDescent="0.25"/>
    <row r="29" ht="5.0999999999999996" customHeight="1" x14ac:dyDescent="0.25"/>
    <row r="44" spans="19:27" ht="5.0999999999999996" customHeight="1" x14ac:dyDescent="0.25"/>
    <row r="45" spans="19:27" x14ac:dyDescent="0.25">
      <c r="S45" s="18" t="s">
        <v>178</v>
      </c>
      <c r="T45" s="18"/>
      <c r="U45" s="18"/>
      <c r="V45" s="18"/>
      <c r="W45" s="18"/>
      <c r="X45" s="18"/>
      <c r="Y45" s="18"/>
      <c r="Z45" s="18"/>
      <c r="AA45" s="18"/>
    </row>
    <row r="46" spans="19:27" x14ac:dyDescent="0.25">
      <c r="S46" s="18"/>
      <c r="T46" s="18"/>
      <c r="U46" s="18"/>
      <c r="V46" s="18"/>
      <c r="W46" s="18"/>
      <c r="X46" s="18"/>
      <c r="Y46" s="18"/>
      <c r="Z46" s="18"/>
      <c r="AA46" s="18"/>
    </row>
    <row r="47" spans="19:27" x14ac:dyDescent="0.25">
      <c r="S47" s="18"/>
      <c r="T47" s="18"/>
      <c r="U47" s="18"/>
      <c r="V47" s="18"/>
      <c r="W47" s="18"/>
      <c r="X47" s="18"/>
      <c r="Y47" s="18"/>
      <c r="Z47" s="18"/>
      <c r="AA47" s="18"/>
    </row>
    <row r="48" spans="19:27" x14ac:dyDescent="0.25">
      <c r="S48" s="18"/>
      <c r="T48" s="18"/>
      <c r="U48" s="18"/>
      <c r="V48" s="18"/>
      <c r="W48" s="18"/>
      <c r="X48" s="18"/>
      <c r="Y48" s="18"/>
      <c r="Z48" s="18"/>
      <c r="AA48" s="18"/>
    </row>
    <row r="49" spans="19:27" x14ac:dyDescent="0.25">
      <c r="S49" s="18"/>
      <c r="T49" s="18"/>
      <c r="U49" s="18"/>
      <c r="V49" s="18"/>
      <c r="W49" s="18"/>
      <c r="X49" s="18"/>
      <c r="Y49" s="18"/>
      <c r="Z49" s="18"/>
      <c r="AA49" s="18"/>
    </row>
    <row r="50" spans="19:27" x14ac:dyDescent="0.25">
      <c r="S50" s="18"/>
      <c r="T50" s="18"/>
      <c r="U50" s="18"/>
      <c r="V50" s="18"/>
      <c r="W50" s="18"/>
      <c r="X50" s="18"/>
      <c r="Y50" s="18"/>
      <c r="Z50" s="18"/>
      <c r="AA50" s="18"/>
    </row>
    <row r="51" spans="19:27" x14ac:dyDescent="0.25">
      <c r="S51" s="18"/>
      <c r="T51" s="18"/>
      <c r="U51" s="18"/>
      <c r="V51" s="18"/>
      <c r="W51" s="18"/>
      <c r="X51" s="18"/>
      <c r="Y51" s="18"/>
      <c r="Z51" s="18"/>
      <c r="AA51" s="18"/>
    </row>
    <row r="52" spans="19:27" x14ac:dyDescent="0.25">
      <c r="S52" s="18"/>
      <c r="T52" s="18"/>
      <c r="U52" s="18"/>
      <c r="V52" s="18"/>
      <c r="W52" s="18"/>
      <c r="X52" s="18"/>
      <c r="Y52" s="18"/>
      <c r="Z52" s="18"/>
      <c r="AA52" s="18"/>
    </row>
    <row r="53" spans="19:27" x14ac:dyDescent="0.25">
      <c r="S53" s="18"/>
      <c r="T53" s="18"/>
      <c r="U53" s="18"/>
      <c r="V53" s="18"/>
      <c r="W53" s="18"/>
      <c r="X53" s="18"/>
      <c r="Y53" s="18"/>
      <c r="Z53" s="18"/>
      <c r="AA53" s="18"/>
    </row>
    <row r="54" spans="19:27" x14ac:dyDescent="0.25">
      <c r="S54" s="18"/>
      <c r="T54" s="18"/>
      <c r="U54" s="18"/>
      <c r="V54" s="18"/>
      <c r="W54" s="18"/>
      <c r="X54" s="18"/>
      <c r="Y54" s="18"/>
      <c r="Z54" s="18"/>
      <c r="AA54" s="18"/>
    </row>
    <row r="55" spans="19:27" x14ac:dyDescent="0.25">
      <c r="S55" s="18"/>
      <c r="T55" s="18"/>
      <c r="U55" s="18"/>
      <c r="V55" s="18"/>
      <c r="W55" s="18"/>
      <c r="X55" s="18"/>
      <c r="Y55" s="18"/>
      <c r="Z55" s="18"/>
      <c r="AA55" s="18"/>
    </row>
    <row r="56" spans="19:27" x14ac:dyDescent="0.25">
      <c r="S56" s="18"/>
      <c r="T56" s="18"/>
      <c r="U56" s="18"/>
      <c r="V56" s="18"/>
      <c r="W56" s="18"/>
      <c r="X56" s="18"/>
      <c r="Y56" s="18"/>
      <c r="Z56" s="18"/>
      <c r="AA56" s="18"/>
    </row>
  </sheetData>
  <mergeCells count="2">
    <mergeCell ref="A1:AA5"/>
    <mergeCell ref="S45:AA5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 Mentah</vt:lpstr>
      <vt:lpstr>Tabel Referensi</vt:lpstr>
      <vt:lpstr>Penjualan</vt:lpstr>
      <vt:lpstr>TotalSalesFlashdisk</vt:lpstr>
      <vt:lpstr>TotalSalesKeyboard</vt:lpstr>
      <vt:lpstr>TotalSalesMonitor</vt:lpstr>
      <vt:lpstr>TotalSalesLaptopPro</vt:lpstr>
      <vt:lpstr>TotalSalesMouse</vt:lpstr>
      <vt:lpstr>CategorySales</vt:lpstr>
      <vt:lpstr>Top5Sales</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Aldy Ngere</dc:creator>
  <cp:lastModifiedBy>Aldy Ngere</cp:lastModifiedBy>
  <dcterms:created xsi:type="dcterms:W3CDTF">2026-09-03T18:37:01Z</dcterms:created>
  <dcterms:modified xsi:type="dcterms:W3CDTF">2026-09-07T09:35:43Z</dcterms:modified>
</cp:coreProperties>
</file>