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imelineCaches/timelineCache2.xml" ContentType="application/vnd.ms-excel.timelineCache+xml"/>
  <Override PartName="/xl/timelineCaches/timelineCache3.xml" ContentType="application/vnd.ms-excel.timelineCache+xml"/>
  <Override PartName="/xl/timelineCaches/timelineCache4.xml" ContentType="application/vnd.ms-excel.timelineCache+xml"/>
  <Override PartName="/xl/timelineCaches/timelineCache5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imelines/timeline2.xml" ContentType="application/vnd.ms-excel.timelin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timelines/timeline3.xml" ContentType="application/vnd.ms-excel.timelin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timelines/timeline4.xml" ContentType="application/vnd.ms-excel.timelin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timelines/timeline5.xml" ContentType="application/vnd.ms-excel.timelin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dy\Documents\DATA ANALYST\MICROSOFT EXCEL\STUDY CASE\STUDY CASE 1\"/>
    </mc:Choice>
  </mc:AlternateContent>
  <xr:revisionPtr revIDLastSave="0" documentId="13_ncr:1_{DEF08C02-3824-4AEB-B1FD-24A5A5EEC3DC}" xr6:coauthVersionLast="47" xr6:coauthVersionMax="47" xr10:uidLastSave="{00000000-0000-0000-0000-000000000000}"/>
  <bookViews>
    <workbookView xWindow="-120" yWindow="-120" windowWidth="20730" windowHeight="11760" firstSheet="5" activeTab="5" xr2:uid="{1E8D84F2-0BE7-4915-BC7D-0376641989F5}"/>
  </bookViews>
  <sheets>
    <sheet name="Data Mentah" sheetId="1" r:id="rId1"/>
    <sheet name="Tabel Referensi" sheetId="2" r:id="rId2"/>
    <sheet name="Penjualan" sheetId="3" r:id="rId3"/>
    <sheet name="TotalSalesFlashdisk" sheetId="5" r:id="rId4"/>
    <sheet name="TotalSalesKeyboard" sheetId="6" r:id="rId5"/>
    <sheet name="TotalSalesMonitor" sheetId="8" r:id="rId6"/>
    <sheet name="TotalSalesLaptopPro" sheetId="7" r:id="rId7"/>
    <sheet name="TotalSalesMouse" sheetId="9" r:id="rId8"/>
    <sheet name="CategorySales" sheetId="10" r:id="rId9"/>
    <sheet name="Top5Sales" sheetId="11" r:id="rId10"/>
  </sheets>
  <externalReferences>
    <externalReference r:id="rId11"/>
  </externalReferences>
  <definedNames>
    <definedName name="NativeTimeline_Tanggal_Beli">#N/A</definedName>
    <definedName name="NativeTimeline_Tanggal_Beli1">#N/A</definedName>
    <definedName name="NativeTimeline_Tanggal_Beli2">#N/A</definedName>
    <definedName name="NativeTimeline_Tanggal_Beli3">#N/A</definedName>
    <definedName name="NativeTimeline_Tanggal_Beli4">#N/A</definedName>
    <definedName name="tabel_data_mentah">'[1]Data Mentah'!$A$1:$F$101</definedName>
    <definedName name="tabel_referensi">'[1]Tabel Referensi'!$A$1:$D$6</definedName>
  </definedNames>
  <calcPr calcId="191029"/>
  <pivotCaches>
    <pivotCache cacheId="2" r:id="rId12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3"/>
        <x15:timelineCacheRef r:id="rId14"/>
        <x15:timelineCacheRef r:id="rId15"/>
        <x15:timelineCacheRef r:id="rId16"/>
        <x15:timelineCacheRef r:id="rId17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3" l="1"/>
  <c r="J8" i="3"/>
  <c r="J12" i="3"/>
  <c r="J16" i="3"/>
  <c r="J20" i="3"/>
  <c r="J24" i="3"/>
  <c r="J28" i="3"/>
  <c r="J32" i="3"/>
  <c r="J36" i="3"/>
  <c r="J40" i="3"/>
  <c r="J44" i="3"/>
  <c r="J48" i="3"/>
  <c r="J52" i="3"/>
  <c r="J56" i="3"/>
  <c r="J60" i="3"/>
  <c r="J64" i="3"/>
  <c r="J68" i="3"/>
  <c r="J72" i="3"/>
  <c r="J76" i="3"/>
  <c r="J80" i="3"/>
  <c r="J84" i="3"/>
  <c r="J88" i="3"/>
  <c r="J91" i="3"/>
  <c r="J96" i="3"/>
  <c r="J100" i="3"/>
  <c r="J5" i="3"/>
  <c r="J9" i="3"/>
  <c r="J13" i="3"/>
  <c r="J17" i="3"/>
  <c r="J21" i="3"/>
  <c r="J25" i="3"/>
  <c r="J29" i="3"/>
  <c r="J33" i="3"/>
  <c r="J37" i="3"/>
  <c r="J41" i="3"/>
  <c r="J45" i="3"/>
  <c r="J49" i="3"/>
  <c r="J53" i="3"/>
  <c r="J57" i="3"/>
  <c r="J61" i="3"/>
  <c r="J65" i="3"/>
  <c r="J69" i="3"/>
  <c r="J73" i="3"/>
  <c r="J77" i="3"/>
  <c r="J81" i="3"/>
  <c r="J85" i="3"/>
  <c r="J89" i="3"/>
  <c r="J92" i="3"/>
  <c r="J97" i="3"/>
  <c r="J101" i="3"/>
  <c r="J6" i="3"/>
  <c r="J10" i="3"/>
  <c r="J14" i="3"/>
  <c r="J18" i="3"/>
  <c r="J22" i="3"/>
  <c r="J26" i="3"/>
  <c r="J30" i="3"/>
  <c r="J34" i="3"/>
  <c r="J38" i="3"/>
  <c r="J42" i="3"/>
  <c r="J46" i="3"/>
  <c r="J50" i="3"/>
  <c r="J54" i="3"/>
  <c r="J58" i="3"/>
  <c r="J62" i="3"/>
  <c r="J66" i="3"/>
  <c r="J70" i="3"/>
  <c r="J74" i="3"/>
  <c r="J78" i="3"/>
  <c r="J82" i="3"/>
  <c r="J86" i="3"/>
  <c r="J90" i="3"/>
  <c r="J94" i="3"/>
  <c r="J98" i="3"/>
  <c r="J102" i="3"/>
  <c r="J7" i="3"/>
  <c r="J11" i="3"/>
  <c r="J15" i="3"/>
  <c r="J19" i="3"/>
  <c r="J23" i="3"/>
  <c r="J27" i="3"/>
  <c r="J31" i="3"/>
  <c r="J35" i="3"/>
  <c r="J39" i="3"/>
  <c r="J43" i="3"/>
  <c r="J47" i="3"/>
  <c r="J51" i="3"/>
  <c r="J55" i="3"/>
  <c r="J59" i="3"/>
  <c r="J63" i="3"/>
  <c r="J67" i="3"/>
  <c r="J71" i="3"/>
  <c r="J75" i="3"/>
  <c r="J79" i="3"/>
  <c r="J83" i="3"/>
  <c r="J87" i="3"/>
  <c r="J93" i="3"/>
  <c r="J95" i="3"/>
  <c r="J99" i="3"/>
  <c r="J103" i="3"/>
  <c r="H4" i="3"/>
  <c r="H8" i="3"/>
  <c r="H12" i="3"/>
  <c r="H16" i="3"/>
  <c r="H20" i="3"/>
  <c r="H24" i="3"/>
  <c r="H28" i="3"/>
  <c r="H32" i="3"/>
  <c r="H36" i="3"/>
  <c r="H40" i="3"/>
  <c r="H44" i="3"/>
  <c r="H48" i="3"/>
  <c r="H52" i="3"/>
  <c r="H56" i="3"/>
  <c r="H60" i="3"/>
  <c r="H64" i="3"/>
  <c r="H68" i="3"/>
  <c r="H72" i="3"/>
  <c r="H76" i="3"/>
  <c r="H80" i="3"/>
  <c r="H84" i="3"/>
  <c r="H88" i="3"/>
  <c r="H91" i="3"/>
  <c r="H96" i="3"/>
  <c r="H100" i="3"/>
  <c r="H5" i="3"/>
  <c r="H9" i="3"/>
  <c r="H13" i="3"/>
  <c r="H17" i="3"/>
  <c r="H21" i="3"/>
  <c r="H25" i="3"/>
  <c r="H29" i="3"/>
  <c r="H33" i="3"/>
  <c r="H37" i="3"/>
  <c r="H41" i="3"/>
  <c r="H45" i="3"/>
  <c r="H49" i="3"/>
  <c r="H53" i="3"/>
  <c r="H57" i="3"/>
  <c r="H61" i="3"/>
  <c r="H65" i="3"/>
  <c r="H69" i="3"/>
  <c r="H73" i="3"/>
  <c r="H77" i="3"/>
  <c r="H81" i="3"/>
  <c r="H85" i="3"/>
  <c r="H89" i="3"/>
  <c r="H92" i="3"/>
  <c r="H97" i="3"/>
  <c r="H101" i="3"/>
  <c r="H6" i="3"/>
  <c r="H10" i="3"/>
  <c r="H14" i="3"/>
  <c r="H18" i="3"/>
  <c r="H22" i="3"/>
  <c r="H26" i="3"/>
  <c r="H30" i="3"/>
  <c r="H34" i="3"/>
  <c r="H38" i="3"/>
  <c r="H42" i="3"/>
  <c r="H46" i="3"/>
  <c r="H50" i="3"/>
  <c r="H54" i="3"/>
  <c r="H58" i="3"/>
  <c r="H62" i="3"/>
  <c r="H66" i="3"/>
  <c r="H70" i="3"/>
  <c r="H74" i="3"/>
  <c r="H78" i="3"/>
  <c r="H82" i="3"/>
  <c r="H86" i="3"/>
  <c r="H90" i="3"/>
  <c r="H94" i="3"/>
  <c r="H98" i="3"/>
  <c r="H102" i="3"/>
  <c r="H7" i="3"/>
  <c r="H11" i="3"/>
  <c r="H15" i="3"/>
  <c r="H19" i="3"/>
  <c r="H23" i="3"/>
  <c r="H27" i="3"/>
  <c r="H31" i="3"/>
  <c r="H35" i="3"/>
  <c r="H39" i="3"/>
  <c r="H43" i="3"/>
  <c r="H47" i="3"/>
  <c r="H51" i="3"/>
  <c r="H55" i="3"/>
  <c r="H59" i="3"/>
  <c r="H63" i="3"/>
  <c r="H67" i="3"/>
  <c r="H71" i="3"/>
  <c r="H75" i="3"/>
  <c r="H79" i="3"/>
  <c r="H83" i="3"/>
  <c r="H87" i="3"/>
  <c r="H93" i="3"/>
  <c r="H95" i="3"/>
  <c r="H99" i="3"/>
  <c r="H103" i="3"/>
  <c r="G4" i="3"/>
  <c r="G8" i="3"/>
  <c r="G12" i="3"/>
  <c r="G16" i="3"/>
  <c r="G20" i="3"/>
  <c r="G24" i="3"/>
  <c r="G28" i="3"/>
  <c r="G32" i="3"/>
  <c r="G36" i="3"/>
  <c r="G40" i="3"/>
  <c r="G44" i="3"/>
  <c r="G48" i="3"/>
  <c r="G52" i="3"/>
  <c r="G56" i="3"/>
  <c r="G60" i="3"/>
  <c r="G64" i="3"/>
  <c r="G68" i="3"/>
  <c r="G72" i="3"/>
  <c r="G76" i="3"/>
  <c r="G80" i="3"/>
  <c r="G84" i="3"/>
  <c r="G88" i="3"/>
  <c r="G91" i="3"/>
  <c r="G96" i="3"/>
  <c r="G100" i="3"/>
  <c r="G5" i="3"/>
  <c r="G9" i="3"/>
  <c r="G13" i="3"/>
  <c r="G17" i="3"/>
  <c r="G21" i="3"/>
  <c r="G25" i="3"/>
  <c r="G29" i="3"/>
  <c r="G33" i="3"/>
  <c r="G37" i="3"/>
  <c r="G41" i="3"/>
  <c r="G45" i="3"/>
  <c r="G49" i="3"/>
  <c r="G53" i="3"/>
  <c r="G57" i="3"/>
  <c r="G61" i="3"/>
  <c r="G65" i="3"/>
  <c r="G69" i="3"/>
  <c r="G73" i="3"/>
  <c r="G77" i="3"/>
  <c r="G81" i="3"/>
  <c r="G85" i="3"/>
  <c r="G89" i="3"/>
  <c r="G92" i="3"/>
  <c r="G97" i="3"/>
  <c r="G101" i="3"/>
  <c r="G6" i="3"/>
  <c r="G10" i="3"/>
  <c r="G14" i="3"/>
  <c r="G18" i="3"/>
  <c r="G22" i="3"/>
  <c r="G26" i="3"/>
  <c r="G30" i="3"/>
  <c r="G34" i="3"/>
  <c r="G38" i="3"/>
  <c r="G42" i="3"/>
  <c r="G46" i="3"/>
  <c r="G50" i="3"/>
  <c r="G54" i="3"/>
  <c r="G58" i="3"/>
  <c r="G62" i="3"/>
  <c r="G66" i="3"/>
  <c r="G70" i="3"/>
  <c r="G74" i="3"/>
  <c r="G78" i="3"/>
  <c r="G82" i="3"/>
  <c r="G86" i="3"/>
  <c r="G90" i="3"/>
  <c r="G94" i="3"/>
  <c r="G98" i="3"/>
  <c r="G102" i="3"/>
  <c r="G7" i="3"/>
  <c r="G11" i="3"/>
  <c r="G15" i="3"/>
  <c r="G19" i="3"/>
  <c r="G23" i="3"/>
  <c r="G27" i="3"/>
  <c r="G31" i="3"/>
  <c r="G35" i="3"/>
  <c r="G39" i="3"/>
  <c r="G43" i="3"/>
  <c r="G47" i="3"/>
  <c r="G51" i="3"/>
  <c r="G55" i="3"/>
  <c r="G59" i="3"/>
  <c r="G63" i="3"/>
  <c r="G67" i="3"/>
  <c r="G71" i="3"/>
  <c r="G75" i="3"/>
  <c r="G79" i="3"/>
  <c r="G83" i="3"/>
  <c r="G87" i="3"/>
  <c r="G93" i="3"/>
  <c r="G95" i="3"/>
  <c r="G99" i="3"/>
  <c r="G103" i="3"/>
  <c r="F24" i="3"/>
  <c r="F56" i="3"/>
  <c r="F88" i="3"/>
  <c r="F21" i="3"/>
  <c r="F53" i="3"/>
  <c r="F85" i="3"/>
  <c r="F18" i="3"/>
  <c r="F50" i="3"/>
  <c r="E40" i="3"/>
  <c r="I40" i="3" s="1"/>
  <c r="E34" i="3"/>
  <c r="I34" i="3" s="1"/>
  <c r="E98" i="3"/>
  <c r="I98" i="3" s="1"/>
  <c r="D24" i="3"/>
  <c r="D56" i="3"/>
  <c r="D88" i="3"/>
  <c r="D21" i="3"/>
  <c r="D45" i="3"/>
  <c r="D53" i="3"/>
  <c r="D85" i="3"/>
  <c r="D89" i="3"/>
  <c r="D10" i="3"/>
  <c r="D18" i="3"/>
  <c r="D50" i="3"/>
  <c r="D54" i="3"/>
  <c r="D62" i="3"/>
  <c r="D94" i="3"/>
  <c r="D7" i="3"/>
  <c r="D51" i="3"/>
  <c r="D83" i="3"/>
  <c r="D93" i="3"/>
  <c r="C4" i="3"/>
  <c r="C8" i="3"/>
  <c r="C12" i="3"/>
  <c r="C16" i="3"/>
  <c r="C20" i="3"/>
  <c r="C24" i="3"/>
  <c r="E24" i="3" s="1"/>
  <c r="I24" i="3" s="1"/>
  <c r="C28" i="3"/>
  <c r="C32" i="3"/>
  <c r="C36" i="3"/>
  <c r="C40" i="3"/>
  <c r="C44" i="3"/>
  <c r="C48" i="3"/>
  <c r="C52" i="3"/>
  <c r="C56" i="3"/>
  <c r="E56" i="3" s="1"/>
  <c r="I56" i="3" s="1"/>
  <c r="C60" i="3"/>
  <c r="C64" i="3"/>
  <c r="C68" i="3"/>
  <c r="C72" i="3"/>
  <c r="C76" i="3"/>
  <c r="C80" i="3"/>
  <c r="C84" i="3"/>
  <c r="C88" i="3"/>
  <c r="E88" i="3" s="1"/>
  <c r="I88" i="3" s="1"/>
  <c r="C91" i="3"/>
  <c r="C96" i="3"/>
  <c r="C100" i="3"/>
  <c r="C5" i="3"/>
  <c r="C9" i="3"/>
  <c r="C13" i="3"/>
  <c r="C17" i="3"/>
  <c r="C21" i="3"/>
  <c r="E21" i="3" s="1"/>
  <c r="I21" i="3" s="1"/>
  <c r="C25" i="3"/>
  <c r="C29" i="3"/>
  <c r="C33" i="3"/>
  <c r="C37" i="3"/>
  <c r="C41" i="3"/>
  <c r="C45" i="3"/>
  <c r="C49" i="3"/>
  <c r="C53" i="3"/>
  <c r="E53" i="3" s="1"/>
  <c r="I53" i="3" s="1"/>
  <c r="C57" i="3"/>
  <c r="D57" i="3" s="1"/>
  <c r="C61" i="3"/>
  <c r="D61" i="3" s="1"/>
  <c r="C65" i="3"/>
  <c r="C69" i="3"/>
  <c r="C73" i="3"/>
  <c r="C77" i="3"/>
  <c r="C81" i="3"/>
  <c r="C85" i="3"/>
  <c r="E85" i="3" s="1"/>
  <c r="I85" i="3" s="1"/>
  <c r="C89" i="3"/>
  <c r="C92" i="3"/>
  <c r="C97" i="3"/>
  <c r="C101" i="3"/>
  <c r="E101" i="3" s="1"/>
  <c r="I101" i="3" s="1"/>
  <c r="C6" i="3"/>
  <c r="C10" i="3"/>
  <c r="C14" i="3"/>
  <c r="C18" i="3"/>
  <c r="E18" i="3" s="1"/>
  <c r="C22" i="3"/>
  <c r="D22" i="3" s="1"/>
  <c r="C26" i="3"/>
  <c r="D26" i="3" s="1"/>
  <c r="C30" i="3"/>
  <c r="C34" i="3"/>
  <c r="C38" i="3"/>
  <c r="C42" i="3"/>
  <c r="C46" i="3"/>
  <c r="C50" i="3"/>
  <c r="E50" i="3" s="1"/>
  <c r="I50" i="3" s="1"/>
  <c r="C54" i="3"/>
  <c r="C58" i="3"/>
  <c r="C62" i="3"/>
  <c r="C66" i="3"/>
  <c r="C70" i="3"/>
  <c r="C74" i="3"/>
  <c r="C78" i="3"/>
  <c r="C82" i="3"/>
  <c r="E82" i="3" s="1"/>
  <c r="I82" i="3" s="1"/>
  <c r="C86" i="3"/>
  <c r="D86" i="3" s="1"/>
  <c r="C90" i="3"/>
  <c r="D90" i="3" s="1"/>
  <c r="C94" i="3"/>
  <c r="C98" i="3"/>
  <c r="C102" i="3"/>
  <c r="C7" i="3"/>
  <c r="C11" i="3"/>
  <c r="C15" i="3"/>
  <c r="E15" i="3" s="1"/>
  <c r="I15" i="3" s="1"/>
  <c r="C19" i="3"/>
  <c r="D19" i="3" s="1"/>
  <c r="C23" i="3"/>
  <c r="D23" i="3" s="1"/>
  <c r="C27" i="3"/>
  <c r="D27" i="3" s="1"/>
  <c r="C31" i="3"/>
  <c r="C35" i="3"/>
  <c r="C39" i="3"/>
  <c r="C43" i="3"/>
  <c r="C47" i="3"/>
  <c r="E47" i="3" s="1"/>
  <c r="I47" i="3" s="1"/>
  <c r="C51" i="3"/>
  <c r="C55" i="3"/>
  <c r="C59" i="3"/>
  <c r="C63" i="3"/>
  <c r="C67" i="3"/>
  <c r="C71" i="3"/>
  <c r="C75" i="3"/>
  <c r="C79" i="3"/>
  <c r="E79" i="3" s="1"/>
  <c r="I79" i="3" s="1"/>
  <c r="C83" i="3"/>
  <c r="C87" i="3"/>
  <c r="C93" i="3"/>
  <c r="C95" i="3"/>
  <c r="C99" i="3"/>
  <c r="C103" i="3"/>
  <c r="B4" i="3"/>
  <c r="B8" i="3"/>
  <c r="B12" i="3"/>
  <c r="B16" i="3"/>
  <c r="B20" i="3"/>
  <c r="B24" i="3"/>
  <c r="B28" i="3"/>
  <c r="B32" i="3"/>
  <c r="B36" i="3"/>
  <c r="B40" i="3"/>
  <c r="B44" i="3"/>
  <c r="B48" i="3"/>
  <c r="B52" i="3"/>
  <c r="B56" i="3"/>
  <c r="B60" i="3"/>
  <c r="B64" i="3"/>
  <c r="B68" i="3"/>
  <c r="B72" i="3"/>
  <c r="B76" i="3"/>
  <c r="B80" i="3"/>
  <c r="B84" i="3"/>
  <c r="B88" i="3"/>
  <c r="B91" i="3"/>
  <c r="B96" i="3"/>
  <c r="B100" i="3"/>
  <c r="B5" i="3"/>
  <c r="B9" i="3"/>
  <c r="B13" i="3"/>
  <c r="B17" i="3"/>
  <c r="B21" i="3"/>
  <c r="B25" i="3"/>
  <c r="B29" i="3"/>
  <c r="B33" i="3"/>
  <c r="B37" i="3"/>
  <c r="B41" i="3"/>
  <c r="B45" i="3"/>
  <c r="B49" i="3"/>
  <c r="B53" i="3"/>
  <c r="B57" i="3"/>
  <c r="B61" i="3"/>
  <c r="B65" i="3"/>
  <c r="B69" i="3"/>
  <c r="B73" i="3"/>
  <c r="B77" i="3"/>
  <c r="B81" i="3"/>
  <c r="B85" i="3"/>
  <c r="B89" i="3"/>
  <c r="B92" i="3"/>
  <c r="B97" i="3"/>
  <c r="B101" i="3"/>
  <c r="B6" i="3"/>
  <c r="B10" i="3"/>
  <c r="B14" i="3"/>
  <c r="B18" i="3"/>
  <c r="B22" i="3"/>
  <c r="B26" i="3"/>
  <c r="B30" i="3"/>
  <c r="B34" i="3"/>
  <c r="B38" i="3"/>
  <c r="B42" i="3"/>
  <c r="B46" i="3"/>
  <c r="B50" i="3"/>
  <c r="B54" i="3"/>
  <c r="B58" i="3"/>
  <c r="B62" i="3"/>
  <c r="B66" i="3"/>
  <c r="B70" i="3"/>
  <c r="B74" i="3"/>
  <c r="B78" i="3"/>
  <c r="B82" i="3"/>
  <c r="B86" i="3"/>
  <c r="B90" i="3"/>
  <c r="B94" i="3"/>
  <c r="B98" i="3"/>
  <c r="B102" i="3"/>
  <c r="B7" i="3"/>
  <c r="B11" i="3"/>
  <c r="B15" i="3"/>
  <c r="B19" i="3"/>
  <c r="B23" i="3"/>
  <c r="B27" i="3"/>
  <c r="B31" i="3"/>
  <c r="B35" i="3"/>
  <c r="B39" i="3"/>
  <c r="B43" i="3"/>
  <c r="B47" i="3"/>
  <c r="B51" i="3"/>
  <c r="B55" i="3"/>
  <c r="B59" i="3"/>
  <c r="B63" i="3"/>
  <c r="B67" i="3"/>
  <c r="B71" i="3"/>
  <c r="B75" i="3"/>
  <c r="B79" i="3"/>
  <c r="B83" i="3"/>
  <c r="B87" i="3"/>
  <c r="B93" i="3"/>
  <c r="B95" i="3"/>
  <c r="B99" i="3"/>
  <c r="B103" i="3"/>
  <c r="E103" i="3" l="1"/>
  <c r="I103" i="3" s="1"/>
  <c r="F103" i="3"/>
  <c r="E71" i="3"/>
  <c r="I71" i="3" s="1"/>
  <c r="F71" i="3"/>
  <c r="E39" i="3"/>
  <c r="I39" i="3" s="1"/>
  <c r="F39" i="3"/>
  <c r="E7" i="3"/>
  <c r="I7" i="3" s="1"/>
  <c r="F7" i="3"/>
  <c r="E74" i="3"/>
  <c r="I74" i="3" s="1"/>
  <c r="F74" i="3"/>
  <c r="E42" i="3"/>
  <c r="I42" i="3" s="1"/>
  <c r="F42" i="3"/>
  <c r="E10" i="3"/>
  <c r="I10" i="3" s="1"/>
  <c r="F10" i="3"/>
  <c r="E77" i="3"/>
  <c r="I77" i="3" s="1"/>
  <c r="F77" i="3"/>
  <c r="E45" i="3"/>
  <c r="I45" i="3" s="1"/>
  <c r="F45" i="3"/>
  <c r="E13" i="3"/>
  <c r="I13" i="3" s="1"/>
  <c r="F13" i="3"/>
  <c r="D13" i="3"/>
  <c r="E80" i="3"/>
  <c r="I80" i="3" s="1"/>
  <c r="F80" i="3"/>
  <c r="D80" i="3"/>
  <c r="E48" i="3"/>
  <c r="I48" i="3" s="1"/>
  <c r="F48" i="3"/>
  <c r="D48" i="3"/>
  <c r="E16" i="3"/>
  <c r="I16" i="3" s="1"/>
  <c r="K16" i="3" s="1"/>
  <c r="F16" i="3"/>
  <c r="D16" i="3"/>
  <c r="D39" i="3"/>
  <c r="F79" i="3"/>
  <c r="K55" i="3"/>
  <c r="K96" i="3"/>
  <c r="E99" i="3"/>
  <c r="I99" i="3" s="1"/>
  <c r="F99" i="3"/>
  <c r="E67" i="3"/>
  <c r="I67" i="3" s="1"/>
  <c r="F67" i="3"/>
  <c r="E35" i="3"/>
  <c r="I35" i="3" s="1"/>
  <c r="F35" i="3"/>
  <c r="E102" i="3"/>
  <c r="I102" i="3" s="1"/>
  <c r="F102" i="3"/>
  <c r="E70" i="3"/>
  <c r="I70" i="3" s="1"/>
  <c r="F70" i="3"/>
  <c r="E38" i="3"/>
  <c r="I38" i="3" s="1"/>
  <c r="F38" i="3"/>
  <c r="D38" i="3"/>
  <c r="E6" i="3"/>
  <c r="I6" i="3" s="1"/>
  <c r="F6" i="3"/>
  <c r="D6" i="3"/>
  <c r="E73" i="3"/>
  <c r="I73" i="3" s="1"/>
  <c r="F73" i="3"/>
  <c r="D73" i="3"/>
  <c r="E41" i="3"/>
  <c r="I41" i="3" s="1"/>
  <c r="F41" i="3"/>
  <c r="D41" i="3"/>
  <c r="E9" i="3"/>
  <c r="I9" i="3" s="1"/>
  <c r="F9" i="3"/>
  <c r="D9" i="3"/>
  <c r="E76" i="3"/>
  <c r="I76" i="3" s="1"/>
  <c r="F76" i="3"/>
  <c r="D76" i="3"/>
  <c r="E44" i="3"/>
  <c r="I44" i="3" s="1"/>
  <c r="F44" i="3"/>
  <c r="D44" i="3"/>
  <c r="E12" i="3"/>
  <c r="I12" i="3" s="1"/>
  <c r="F12" i="3"/>
  <c r="D12" i="3"/>
  <c r="D79" i="3"/>
  <c r="D35" i="3"/>
  <c r="F47" i="3"/>
  <c r="K19" i="3"/>
  <c r="K60" i="3"/>
  <c r="F95" i="3"/>
  <c r="D95" i="3"/>
  <c r="F63" i="3"/>
  <c r="D63" i="3"/>
  <c r="F31" i="3"/>
  <c r="D31" i="3"/>
  <c r="F98" i="3"/>
  <c r="D98" i="3"/>
  <c r="F66" i="3"/>
  <c r="D66" i="3"/>
  <c r="F34" i="3"/>
  <c r="D34" i="3"/>
  <c r="F101" i="3"/>
  <c r="D101" i="3"/>
  <c r="F69" i="3"/>
  <c r="D69" i="3"/>
  <c r="F37" i="3"/>
  <c r="D37" i="3"/>
  <c r="F5" i="3"/>
  <c r="D5" i="3"/>
  <c r="F72" i="3"/>
  <c r="D72" i="3"/>
  <c r="F40" i="3"/>
  <c r="D40" i="3"/>
  <c r="F8" i="3"/>
  <c r="D8" i="3"/>
  <c r="D71" i="3"/>
  <c r="D42" i="3"/>
  <c r="D77" i="3"/>
  <c r="E69" i="3"/>
  <c r="I69" i="3" s="1"/>
  <c r="F15" i="3"/>
  <c r="K79" i="3"/>
  <c r="L79" i="3" s="1"/>
  <c r="M79" i="3" s="1"/>
  <c r="K47" i="3"/>
  <c r="L47" i="3" s="1"/>
  <c r="M47" i="3" s="1"/>
  <c r="K15" i="3"/>
  <c r="L15" i="3" s="1"/>
  <c r="M15" i="3" s="1"/>
  <c r="K82" i="3"/>
  <c r="L82" i="3" s="1"/>
  <c r="M82" i="3" s="1"/>
  <c r="K50" i="3"/>
  <c r="K85" i="3"/>
  <c r="K53" i="3"/>
  <c r="K21" i="3"/>
  <c r="L21" i="3" s="1"/>
  <c r="M21" i="3" s="1"/>
  <c r="K88" i="3"/>
  <c r="K56" i="3"/>
  <c r="L56" i="3" s="1"/>
  <c r="M56" i="3" s="1"/>
  <c r="K24" i="3"/>
  <c r="L24" i="3" s="1"/>
  <c r="M24" i="3" s="1"/>
  <c r="L53" i="3"/>
  <c r="M53" i="3" s="1"/>
  <c r="E93" i="3"/>
  <c r="I93" i="3" s="1"/>
  <c r="F93" i="3"/>
  <c r="E59" i="3"/>
  <c r="I59" i="3" s="1"/>
  <c r="F59" i="3"/>
  <c r="E27" i="3"/>
  <c r="I27" i="3" s="1"/>
  <c r="F27" i="3"/>
  <c r="E94" i="3"/>
  <c r="I94" i="3" s="1"/>
  <c r="F94" i="3"/>
  <c r="E62" i="3"/>
  <c r="I62" i="3" s="1"/>
  <c r="F62" i="3"/>
  <c r="E30" i="3"/>
  <c r="I30" i="3" s="1"/>
  <c r="F30" i="3"/>
  <c r="D30" i="3"/>
  <c r="E97" i="3"/>
  <c r="I97" i="3" s="1"/>
  <c r="F97" i="3"/>
  <c r="D97" i="3"/>
  <c r="E65" i="3"/>
  <c r="I65" i="3" s="1"/>
  <c r="F65" i="3"/>
  <c r="D65" i="3"/>
  <c r="E33" i="3"/>
  <c r="I33" i="3" s="1"/>
  <c r="F33" i="3"/>
  <c r="D33" i="3"/>
  <c r="E100" i="3"/>
  <c r="I100" i="3" s="1"/>
  <c r="F100" i="3"/>
  <c r="D100" i="3"/>
  <c r="E68" i="3"/>
  <c r="I68" i="3" s="1"/>
  <c r="F68" i="3"/>
  <c r="D68" i="3"/>
  <c r="E36" i="3"/>
  <c r="I36" i="3" s="1"/>
  <c r="F36" i="3"/>
  <c r="D36" i="3"/>
  <c r="E4" i="3"/>
  <c r="I4" i="3" s="1"/>
  <c r="F4" i="3"/>
  <c r="D4" i="3"/>
  <c r="D67" i="3"/>
  <c r="D82" i="3"/>
  <c r="E95" i="3"/>
  <c r="I95" i="3" s="1"/>
  <c r="E37" i="3"/>
  <c r="I37" i="3" s="1"/>
  <c r="F82" i="3"/>
  <c r="K46" i="3"/>
  <c r="L85" i="3"/>
  <c r="M85" i="3" s="1"/>
  <c r="F87" i="3"/>
  <c r="E87" i="3"/>
  <c r="I87" i="3" s="1"/>
  <c r="K87" i="3" s="1"/>
  <c r="F55" i="3"/>
  <c r="E55" i="3"/>
  <c r="I55" i="3" s="1"/>
  <c r="F23" i="3"/>
  <c r="E23" i="3"/>
  <c r="I23" i="3" s="1"/>
  <c r="F90" i="3"/>
  <c r="E90" i="3"/>
  <c r="I90" i="3" s="1"/>
  <c r="F58" i="3"/>
  <c r="E58" i="3"/>
  <c r="I58" i="3" s="1"/>
  <c r="K58" i="3" s="1"/>
  <c r="F26" i="3"/>
  <c r="E26" i="3"/>
  <c r="I26" i="3" s="1"/>
  <c r="F92" i="3"/>
  <c r="E92" i="3"/>
  <c r="I92" i="3" s="1"/>
  <c r="F61" i="3"/>
  <c r="E61" i="3"/>
  <c r="I61" i="3" s="1"/>
  <c r="K61" i="3" s="1"/>
  <c r="F29" i="3"/>
  <c r="D29" i="3"/>
  <c r="E29" i="3"/>
  <c r="I29" i="3" s="1"/>
  <c r="K29" i="3" s="1"/>
  <c r="F96" i="3"/>
  <c r="D96" i="3"/>
  <c r="E96" i="3"/>
  <c r="I96" i="3" s="1"/>
  <c r="F64" i="3"/>
  <c r="D64" i="3"/>
  <c r="E64" i="3"/>
  <c r="I64" i="3" s="1"/>
  <c r="F32" i="3"/>
  <c r="D32" i="3"/>
  <c r="E32" i="3"/>
  <c r="I32" i="3" s="1"/>
  <c r="D103" i="3"/>
  <c r="D59" i="3"/>
  <c r="D74" i="3"/>
  <c r="E63" i="3"/>
  <c r="I63" i="3" s="1"/>
  <c r="E5" i="3"/>
  <c r="I5" i="3" s="1"/>
  <c r="K5" i="3" s="1"/>
  <c r="K103" i="3"/>
  <c r="K71" i="3"/>
  <c r="K39" i="3"/>
  <c r="K7" i="3"/>
  <c r="K74" i="3"/>
  <c r="K42" i="3"/>
  <c r="K10" i="3"/>
  <c r="K77" i="3"/>
  <c r="K45" i="3"/>
  <c r="K13" i="3"/>
  <c r="K80" i="3"/>
  <c r="K48" i="3"/>
  <c r="I18" i="3"/>
  <c r="M88" i="3"/>
  <c r="L88" i="3"/>
  <c r="F83" i="3"/>
  <c r="E83" i="3"/>
  <c r="I83" i="3" s="1"/>
  <c r="K83" i="3" s="1"/>
  <c r="F51" i="3"/>
  <c r="E51" i="3"/>
  <c r="I51" i="3" s="1"/>
  <c r="K51" i="3" s="1"/>
  <c r="F19" i="3"/>
  <c r="E19" i="3"/>
  <c r="I19" i="3" s="1"/>
  <c r="F86" i="3"/>
  <c r="E86" i="3"/>
  <c r="I86" i="3" s="1"/>
  <c r="F54" i="3"/>
  <c r="E54" i="3"/>
  <c r="I54" i="3" s="1"/>
  <c r="F22" i="3"/>
  <c r="E22" i="3"/>
  <c r="I22" i="3" s="1"/>
  <c r="F89" i="3"/>
  <c r="E89" i="3"/>
  <c r="I89" i="3" s="1"/>
  <c r="F57" i="3"/>
  <c r="E57" i="3"/>
  <c r="I57" i="3" s="1"/>
  <c r="K57" i="3" s="1"/>
  <c r="F25" i="3"/>
  <c r="D25" i="3"/>
  <c r="E25" i="3"/>
  <c r="I25" i="3" s="1"/>
  <c r="K25" i="3" s="1"/>
  <c r="F91" i="3"/>
  <c r="D91" i="3"/>
  <c r="E91" i="3"/>
  <c r="I91" i="3" s="1"/>
  <c r="F60" i="3"/>
  <c r="D60" i="3"/>
  <c r="E60" i="3"/>
  <c r="I60" i="3" s="1"/>
  <c r="F28" i="3"/>
  <c r="D28" i="3"/>
  <c r="E28" i="3"/>
  <c r="I28" i="3" s="1"/>
  <c r="D99" i="3"/>
  <c r="D55" i="3"/>
  <c r="D15" i="3"/>
  <c r="D70" i="3"/>
  <c r="E31" i="3"/>
  <c r="I31" i="3" s="1"/>
  <c r="E72" i="3"/>
  <c r="I72" i="3" s="1"/>
  <c r="K99" i="3"/>
  <c r="K67" i="3"/>
  <c r="K35" i="3"/>
  <c r="K102" i="3"/>
  <c r="K70" i="3"/>
  <c r="K38" i="3"/>
  <c r="K6" i="3"/>
  <c r="K73" i="3"/>
  <c r="K41" i="3"/>
  <c r="K9" i="3"/>
  <c r="K76" i="3"/>
  <c r="K44" i="3"/>
  <c r="K12" i="3"/>
  <c r="K95" i="3"/>
  <c r="K31" i="3"/>
  <c r="K98" i="3"/>
  <c r="L98" i="3" s="1"/>
  <c r="M98" i="3" s="1"/>
  <c r="K34" i="3"/>
  <c r="L34" i="3" s="1"/>
  <c r="M34" i="3" s="1"/>
  <c r="K101" i="3"/>
  <c r="L101" i="3" s="1"/>
  <c r="M101" i="3" s="1"/>
  <c r="K69" i="3"/>
  <c r="K37" i="3"/>
  <c r="K72" i="3"/>
  <c r="K40" i="3"/>
  <c r="L40" i="3" s="1"/>
  <c r="M40" i="3" s="1"/>
  <c r="L50" i="3"/>
  <c r="M50" i="3" s="1"/>
  <c r="F75" i="3"/>
  <c r="D75" i="3"/>
  <c r="E75" i="3"/>
  <c r="I75" i="3" s="1"/>
  <c r="K75" i="3" s="1"/>
  <c r="F43" i="3"/>
  <c r="D43" i="3"/>
  <c r="E43" i="3"/>
  <c r="I43" i="3" s="1"/>
  <c r="K43" i="3" s="1"/>
  <c r="F11" i="3"/>
  <c r="D11" i="3"/>
  <c r="E11" i="3"/>
  <c r="I11" i="3" s="1"/>
  <c r="F78" i="3"/>
  <c r="D78" i="3"/>
  <c r="E78" i="3"/>
  <c r="I78" i="3" s="1"/>
  <c r="K78" i="3" s="1"/>
  <c r="F46" i="3"/>
  <c r="D46" i="3"/>
  <c r="E46" i="3"/>
  <c r="I46" i="3" s="1"/>
  <c r="F14" i="3"/>
  <c r="D14" i="3"/>
  <c r="E14" i="3"/>
  <c r="I14" i="3" s="1"/>
  <c r="F81" i="3"/>
  <c r="D81" i="3"/>
  <c r="E81" i="3"/>
  <c r="I81" i="3" s="1"/>
  <c r="F49" i="3"/>
  <c r="D49" i="3"/>
  <c r="E49" i="3"/>
  <c r="I49" i="3" s="1"/>
  <c r="F17" i="3"/>
  <c r="D17" i="3"/>
  <c r="E17" i="3"/>
  <c r="I17" i="3" s="1"/>
  <c r="K17" i="3" s="1"/>
  <c r="F84" i="3"/>
  <c r="D84" i="3"/>
  <c r="E84" i="3"/>
  <c r="I84" i="3" s="1"/>
  <c r="K84" i="3" s="1"/>
  <c r="F52" i="3"/>
  <c r="D52" i="3"/>
  <c r="E52" i="3"/>
  <c r="I52" i="3" s="1"/>
  <c r="F20" i="3"/>
  <c r="D20" i="3"/>
  <c r="E20" i="3"/>
  <c r="I20" i="3" s="1"/>
  <c r="K20" i="3" s="1"/>
  <c r="D87" i="3"/>
  <c r="D47" i="3"/>
  <c r="D102" i="3"/>
  <c r="D58" i="3"/>
  <c r="D92" i="3"/>
  <c r="E66" i="3"/>
  <c r="I66" i="3" s="1"/>
  <c r="K66" i="3" s="1"/>
  <c r="E8" i="3"/>
  <c r="I8" i="3" s="1"/>
  <c r="K8" i="3" s="1"/>
  <c r="K93" i="3"/>
  <c r="K59" i="3"/>
  <c r="K27" i="3"/>
  <c r="K94" i="3"/>
  <c r="K62" i="3"/>
  <c r="K30" i="3"/>
  <c r="K97" i="3"/>
  <c r="K65" i="3"/>
  <c r="K100" i="3"/>
  <c r="K68" i="3"/>
  <c r="K36" i="3"/>
  <c r="K4" i="3"/>
  <c r="L11" i="3" l="1"/>
  <c r="M11" i="3" s="1"/>
  <c r="L91" i="3"/>
  <c r="M91" i="3" s="1"/>
  <c r="L19" i="3"/>
  <c r="M19" i="3" s="1"/>
  <c r="L30" i="3"/>
  <c r="M30" i="3"/>
  <c r="L59" i="3"/>
  <c r="M59" i="3"/>
  <c r="K91" i="3"/>
  <c r="L9" i="3"/>
  <c r="M9" i="3" s="1"/>
  <c r="L102" i="3"/>
  <c r="M102" i="3"/>
  <c r="L13" i="3"/>
  <c r="M13" i="3" s="1"/>
  <c r="L42" i="3"/>
  <c r="M42" i="3" s="1"/>
  <c r="L71" i="3"/>
  <c r="M71" i="3" s="1"/>
  <c r="M96" i="3"/>
  <c r="L96" i="3"/>
  <c r="L92" i="3"/>
  <c r="M92" i="3" s="1"/>
  <c r="K52" i="3"/>
  <c r="L52" i="3" s="1"/>
  <c r="M52" i="3" s="1"/>
  <c r="K11" i="3"/>
  <c r="L68" i="3"/>
  <c r="M68" i="3"/>
  <c r="L6" i="3"/>
  <c r="M6" i="3" s="1"/>
  <c r="L61" i="3"/>
  <c r="M61" i="3" s="1"/>
  <c r="L46" i="3"/>
  <c r="M46" i="3" s="1"/>
  <c r="L22" i="3"/>
  <c r="M22" i="3" s="1"/>
  <c r="L51" i="3"/>
  <c r="M51" i="3" s="1"/>
  <c r="L65" i="3"/>
  <c r="M65" i="3" s="1"/>
  <c r="L62" i="3"/>
  <c r="M62" i="3"/>
  <c r="L93" i="3"/>
  <c r="M93" i="3"/>
  <c r="L44" i="3"/>
  <c r="M44" i="3"/>
  <c r="L35" i="3"/>
  <c r="M35" i="3" s="1"/>
  <c r="K92" i="3"/>
  <c r="L48" i="3"/>
  <c r="M48" i="3" s="1"/>
  <c r="L45" i="3"/>
  <c r="M45" i="3" s="1"/>
  <c r="L74" i="3"/>
  <c r="M74" i="3" s="1"/>
  <c r="L103" i="3"/>
  <c r="M103" i="3"/>
  <c r="L90" i="3"/>
  <c r="M90" i="3" s="1"/>
  <c r="L16" i="3"/>
  <c r="M16" i="3" s="1"/>
  <c r="M84" i="3"/>
  <c r="L84" i="3"/>
  <c r="L43" i="3"/>
  <c r="M43" i="3" s="1"/>
  <c r="L25" i="3"/>
  <c r="M25" i="3" s="1"/>
  <c r="L32" i="3"/>
  <c r="M32" i="3"/>
  <c r="M55" i="3"/>
  <c r="L55" i="3"/>
  <c r="L4" i="3"/>
  <c r="M4" i="3"/>
  <c r="K89" i="3"/>
  <c r="L89" i="3" s="1"/>
  <c r="M89" i="3" s="1"/>
  <c r="L41" i="3"/>
  <c r="M41" i="3" s="1"/>
  <c r="K26" i="3"/>
  <c r="L26" i="3" s="1"/>
  <c r="M26" i="3" s="1"/>
  <c r="L66" i="3"/>
  <c r="M66" i="3" s="1"/>
  <c r="L72" i="3"/>
  <c r="M72" i="3"/>
  <c r="L83" i="3"/>
  <c r="M83" i="3" s="1"/>
  <c r="L29" i="3"/>
  <c r="M29" i="3" s="1"/>
  <c r="K49" i="3"/>
  <c r="L49" i="3" s="1"/>
  <c r="M49" i="3" s="1"/>
  <c r="L100" i="3"/>
  <c r="M100" i="3" s="1"/>
  <c r="L94" i="3"/>
  <c r="M94" i="3"/>
  <c r="L69" i="3"/>
  <c r="M69" i="3"/>
  <c r="K22" i="3"/>
  <c r="L38" i="3"/>
  <c r="M38" i="3" s="1"/>
  <c r="L67" i="3"/>
  <c r="M67" i="3"/>
  <c r="L77" i="3"/>
  <c r="M77" i="3" s="1"/>
  <c r="L7" i="3"/>
  <c r="M7" i="3" s="1"/>
  <c r="L12" i="3"/>
  <c r="M12" i="3" s="1"/>
  <c r="K33" i="3"/>
  <c r="L33" i="3" s="1"/>
  <c r="M33" i="3" s="1"/>
  <c r="L20" i="3"/>
  <c r="M20" i="3" s="1"/>
  <c r="L78" i="3"/>
  <c r="M78" i="3" s="1"/>
  <c r="K63" i="3"/>
  <c r="L63" i="3" s="1"/>
  <c r="M63" i="3" s="1"/>
  <c r="L31" i="3"/>
  <c r="M31" i="3" s="1"/>
  <c r="L60" i="3"/>
  <c r="M60" i="3" s="1"/>
  <c r="L58" i="3"/>
  <c r="M58" i="3" s="1"/>
  <c r="L87" i="3"/>
  <c r="M87" i="3" s="1"/>
  <c r="K81" i="3"/>
  <c r="L81" i="3" s="1"/>
  <c r="M81" i="3" s="1"/>
  <c r="L37" i="3"/>
  <c r="M37" i="3"/>
  <c r="L97" i="3"/>
  <c r="M97" i="3" s="1"/>
  <c r="K18" i="3"/>
  <c r="L18" i="3" s="1"/>
  <c r="M18" i="3" s="1"/>
  <c r="K54" i="3"/>
  <c r="L54" i="3" s="1"/>
  <c r="M54" i="3" s="1"/>
  <c r="L76" i="3"/>
  <c r="M76" i="3"/>
  <c r="K32" i="3"/>
  <c r="K90" i="3"/>
  <c r="L80" i="3"/>
  <c r="M80" i="3" s="1"/>
  <c r="L8" i="3"/>
  <c r="M8" i="3"/>
  <c r="L17" i="3"/>
  <c r="M17" i="3" s="1"/>
  <c r="L75" i="3"/>
  <c r="M75" i="3" s="1"/>
  <c r="L57" i="3"/>
  <c r="M57" i="3"/>
  <c r="L5" i="3"/>
  <c r="M5" i="3"/>
  <c r="K14" i="3"/>
  <c r="L14" i="3" s="1"/>
  <c r="M14" i="3" s="1"/>
  <c r="L95" i="3"/>
  <c r="M95" i="3"/>
  <c r="L36" i="3"/>
  <c r="M36" i="3" s="1"/>
  <c r="L27" i="3"/>
  <c r="M27" i="3"/>
  <c r="K28" i="3"/>
  <c r="L28" i="3" s="1"/>
  <c r="M28" i="3" s="1"/>
  <c r="K86" i="3"/>
  <c r="L86" i="3" s="1"/>
  <c r="M86" i="3" s="1"/>
  <c r="L73" i="3"/>
  <c r="M73" i="3"/>
  <c r="L70" i="3"/>
  <c r="M70" i="3" s="1"/>
  <c r="L99" i="3"/>
  <c r="M99" i="3"/>
  <c r="K64" i="3"/>
  <c r="L64" i="3" s="1"/>
  <c r="M64" i="3" s="1"/>
  <c r="K23" i="3"/>
  <c r="L23" i="3" s="1"/>
  <c r="M23" i="3" s="1"/>
  <c r="L10" i="3"/>
  <c r="M10" i="3"/>
  <c r="L39" i="3"/>
  <c r="M39" i="3" s="1"/>
</calcChain>
</file>

<file path=xl/sharedStrings.xml><?xml version="1.0" encoding="utf-8"?>
<sst xmlns="http://schemas.openxmlformats.org/spreadsheetml/2006/main" count="628" uniqueCount="176">
  <si>
    <t>ID</t>
  </si>
  <si>
    <t>Nama Kasir</t>
  </si>
  <si>
    <t>Kode Produk</t>
  </si>
  <si>
    <t>Tanggal Beli</t>
  </si>
  <si>
    <t>Qty</t>
  </si>
  <si>
    <t>Member</t>
  </si>
  <si>
    <t>TRX-001</t>
  </si>
  <si>
    <t>budi santoso</t>
  </si>
  <si>
    <t>P-01</t>
  </si>
  <si>
    <t>Ya</t>
  </si>
  <si>
    <t>TRX-002</t>
  </si>
  <si>
    <t>SITI AMINAH</t>
  </si>
  <si>
    <t>P-02</t>
  </si>
  <si>
    <t>Tidak</t>
  </si>
  <si>
    <t>TRX-003</t>
  </si>
  <si>
    <t>andi wijaya</t>
  </si>
  <si>
    <t>P-03</t>
  </si>
  <si>
    <t>TRX-004</t>
  </si>
  <si>
    <t>dewi lestari</t>
  </si>
  <si>
    <t>TRX-005</t>
  </si>
  <si>
    <t>Eko Prasetyo</t>
  </si>
  <si>
    <t>P-04</t>
  </si>
  <si>
    <t>TRX-006</t>
  </si>
  <si>
    <t>Rina mr</t>
  </si>
  <si>
    <t>P-05</t>
  </si>
  <si>
    <t>TRX-007</t>
  </si>
  <si>
    <t>AGUS SUPRIYADI</t>
  </si>
  <si>
    <t>TRX-008</t>
  </si>
  <si>
    <t>nina herlina</t>
  </si>
  <si>
    <t>TRX-009</t>
  </si>
  <si>
    <t>Doni Salmanan</t>
  </si>
  <si>
    <t>TRX-010</t>
  </si>
  <si>
    <t>Fajar Nugraha</t>
  </si>
  <si>
    <t>TRX-011</t>
  </si>
  <si>
    <t>GINA sonia</t>
  </si>
  <si>
    <t>TRX-012</t>
  </si>
  <si>
    <t>Hendra Gunawan</t>
  </si>
  <si>
    <t>TRX-013</t>
  </si>
  <si>
    <t>INDRA BEKTI</t>
  </si>
  <si>
    <t>TRX-014</t>
  </si>
  <si>
    <t>joko widodo</t>
  </si>
  <si>
    <t>TRX-015</t>
  </si>
  <si>
    <t>Kiki Amalia</t>
  </si>
  <si>
    <t>TRX-016</t>
  </si>
  <si>
    <t>LINA MARLINA</t>
  </si>
  <si>
    <t>TRX-017</t>
  </si>
  <si>
    <t>maman abdurrahman</t>
  </si>
  <si>
    <t>TRX-018</t>
  </si>
  <si>
    <t>Nanda Saputra</t>
  </si>
  <si>
    <t>TRX-019</t>
  </si>
  <si>
    <t>Oki Setiana</t>
  </si>
  <si>
    <t>TRX-020</t>
  </si>
  <si>
    <t>PUTRI TITIAN</t>
  </si>
  <si>
    <t>TRX-021</t>
  </si>
  <si>
    <t>qory sandioriva</t>
  </si>
  <si>
    <t>TRX-022</t>
  </si>
  <si>
    <t>reza rahardian</t>
  </si>
  <si>
    <t>TRX-023</t>
  </si>
  <si>
    <t>SISCA SOEWITOMO</t>
  </si>
  <si>
    <t>TRX-024</t>
  </si>
  <si>
    <t>Tora Sudiro</t>
  </si>
  <si>
    <t>TRX-025</t>
  </si>
  <si>
    <t>umay shahab</t>
  </si>
  <si>
    <t>TRX-026</t>
  </si>
  <si>
    <t>TRX-027</t>
  </si>
  <si>
    <t>TRX-028</t>
  </si>
  <si>
    <t>TRX-029</t>
  </si>
  <si>
    <t>TRX-030</t>
  </si>
  <si>
    <t>TRX-031</t>
  </si>
  <si>
    <t>TRX-032</t>
  </si>
  <si>
    <t>TRX-033</t>
  </si>
  <si>
    <t>TRX-034</t>
  </si>
  <si>
    <t>TRX-035</t>
  </si>
  <si>
    <t>TRX-036</t>
  </si>
  <si>
    <t>TRX-037</t>
  </si>
  <si>
    <t>TRX-038</t>
  </si>
  <si>
    <t>TRX-039</t>
  </si>
  <si>
    <t>TRX-040</t>
  </si>
  <si>
    <t>TRX-041</t>
  </si>
  <si>
    <t>TRX-042</t>
  </si>
  <si>
    <t>TRX-043</t>
  </si>
  <si>
    <t>TRX-044</t>
  </si>
  <si>
    <t>TRX-045</t>
  </si>
  <si>
    <t>TRX-046</t>
  </si>
  <si>
    <t>TRX-047</t>
  </si>
  <si>
    <t>TRX-048</t>
  </si>
  <si>
    <t>TRX-049</t>
  </si>
  <si>
    <t>TRX-050</t>
  </si>
  <si>
    <t>TRX-051</t>
  </si>
  <si>
    <t>TRX-052</t>
  </si>
  <si>
    <t>TRX-053</t>
  </si>
  <si>
    <t>TRX-054</t>
  </si>
  <si>
    <t>TRX-055</t>
  </si>
  <si>
    <t>TRX-056</t>
  </si>
  <si>
    <t>TRX-057</t>
  </si>
  <si>
    <t>TRX-058</t>
  </si>
  <si>
    <t>TRX-059</t>
  </si>
  <si>
    <t>TRX-060</t>
  </si>
  <si>
    <t>TRX-061</t>
  </si>
  <si>
    <t>TRX-062</t>
  </si>
  <si>
    <t>TRX-063</t>
  </si>
  <si>
    <t>TRX-064</t>
  </si>
  <si>
    <t>TRX-065</t>
  </si>
  <si>
    <t>TRX-066</t>
  </si>
  <si>
    <t>TRX-067</t>
  </si>
  <si>
    <t>TRX-068</t>
  </si>
  <si>
    <t>TRX-069</t>
  </si>
  <si>
    <t>TRX-070</t>
  </si>
  <si>
    <t>TRX-071</t>
  </si>
  <si>
    <t>TRX-072</t>
  </si>
  <si>
    <t>TRX-073</t>
  </si>
  <si>
    <t>TRX-074</t>
  </si>
  <si>
    <t>TRX-075</t>
  </si>
  <si>
    <t>TRX-076</t>
  </si>
  <si>
    <t>TRX-077</t>
  </si>
  <si>
    <t>TRX-078</t>
  </si>
  <si>
    <t>TRX-079</t>
  </si>
  <si>
    <t>TRX-080</t>
  </si>
  <si>
    <t>TRX-081</t>
  </si>
  <si>
    <t>TRX-082</t>
  </si>
  <si>
    <t>TRX-083</t>
  </si>
  <si>
    <t>TRX-084</t>
  </si>
  <si>
    <t>TRX-085</t>
  </si>
  <si>
    <t>TRX-086</t>
  </si>
  <si>
    <t>TRX-087</t>
  </si>
  <si>
    <t>TRX-088</t>
  </si>
  <si>
    <t>TRX-089</t>
  </si>
  <si>
    <t>TRX-090</t>
  </si>
  <si>
    <t>TRX-091</t>
  </si>
  <si>
    <t>TRX-092</t>
  </si>
  <si>
    <t>TRX-093</t>
  </si>
  <si>
    <t>TRX-094</t>
  </si>
  <si>
    <t>TRX-095</t>
  </si>
  <si>
    <t>TRX-096</t>
  </si>
  <si>
    <t>TRX-097</t>
  </si>
  <si>
    <t>TRX-098</t>
  </si>
  <si>
    <t>TRX-099</t>
  </si>
  <si>
    <t>TRX-100</t>
  </si>
  <si>
    <t>Nama Produk</t>
  </si>
  <si>
    <t>Harga Satuan</t>
  </si>
  <si>
    <t>Kategori</t>
  </si>
  <si>
    <t>Laptop Pro 14</t>
  </si>
  <si>
    <t>Komputer</t>
  </si>
  <si>
    <t>Mouse Wireless</t>
  </si>
  <si>
    <t>Aksesoris</t>
  </si>
  <si>
    <t>Keyboard Mechanical</t>
  </si>
  <si>
    <t>Monitor 27 Inch</t>
  </si>
  <si>
    <t>Flashdisk 64GB</t>
  </si>
  <si>
    <t>Quantity</t>
  </si>
  <si>
    <t>Total Harga</t>
  </si>
  <si>
    <t>Status Diskon</t>
  </si>
  <si>
    <t>Nominal Diskon</t>
  </si>
  <si>
    <t>Total Bayar</t>
  </si>
  <si>
    <t>LAPORAN PENJUALAN TOKO ELEKTRONIK CAHYA NUSANTARA (JANUARY 2023 - JANUARY 2025)</t>
  </si>
  <si>
    <t>Sum of Total Bayar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</si>
  <si>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</si>
  <si>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</si>
  <si>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</si>
  <si>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</si>
  <si>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</si>
  <si>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</si>
  <si>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</si>
  <si>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</si>
  <si>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</si>
  <si>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</si>
  <si>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</si>
  <si>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</si>
  <si>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2023</t>
  </si>
  <si>
    <t>2024</t>
  </si>
  <si>
    <t>2025</t>
  </si>
  <si>
    <t>Years (Tanggal Beli)</t>
  </si>
  <si>
    <t>Months (Tanggal Beli)</t>
  </si>
  <si>
    <t>Budi Santoso</t>
  </si>
  <si>
    <t>Dewi Lestari</t>
  </si>
  <si>
    <t>Nina Herlina</t>
  </si>
  <si>
    <t>Umay Shahab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</si>
</sst>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-&quot;Rp&quot;* #,##0.00_-;\-&quot;Rp&quot;* #,##0.00_-;_-&quot;Rp&quot;* &quot;-&quot;??_-;_-@_-"/>
    <numFmt numFmtId="164" formatCode="&quot;Rp&quot;#,##0"/>
    <numFmt numFmtId="165" formatCode="dd\-mmm\-yyyy"/>
    <numFmt numFmtId="166" formatCode="_-[$Rp-3809]* #,##0_-;\-[$Rp-3809]* #,##0_-;_-[$Rp-3809]* &quot;-&quot;??_-;_-@_-"/>
    <numFmt numFmtId="167" formatCode="_-&quot;Rp&quot;* #,##0_-;\-&quot;Rp&quot;* #,##0_-;_-&quot;Rp&quot;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Poppins"/>
    </font>
    <font>
      <sz val="10"/>
      <color theme="1"/>
      <name val="Poppins"/>
    </font>
    <font>
      <sz val="10"/>
      <color rgb="FF1F1F1F"/>
      <name val="Poppins"/>
    </font>
    <font>
      <b/>
      <sz val="14"/>
      <color theme="8"/>
      <name val="Poppins"/>
    </font>
    <font>
      <b/>
      <sz val="10"/>
      <color rgb="FF1F1F1F"/>
      <name val="Poppin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 indent="1" readingOrder="1"/>
    </xf>
    <xf numFmtId="0" fontId="3" fillId="0" borderId="0" xfId="0" applyFont="1"/>
    <xf numFmtId="164" fontId="3" fillId="0" borderId="0" xfId="0" applyNumberFormat="1" applyFont="1"/>
    <xf numFmtId="0" fontId="6" fillId="0" borderId="1" xfId="0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horizontal="left" vertical="center" wrapText="1" indent="1" readingOrder="1"/>
    </xf>
    <xf numFmtId="14" fontId="4" fillId="0" borderId="1" xfId="0" applyNumberFormat="1" applyFont="1" applyBorder="1" applyAlignment="1">
      <alignment horizontal="left" vertical="center" wrapText="1" indent="1" readingOrder="1"/>
    </xf>
    <xf numFmtId="15" fontId="4" fillId="0" borderId="1" xfId="0" applyNumberFormat="1" applyFont="1" applyBorder="1" applyAlignment="1">
      <alignment horizontal="left" vertical="center" wrapText="1" indent="1" readingOrder="1"/>
    </xf>
    <xf numFmtId="165" fontId="3" fillId="0" borderId="0" xfId="0" applyNumberFormat="1" applyFont="1"/>
    <xf numFmtId="166" fontId="3" fillId="0" borderId="0" xfId="0" applyNumberFormat="1" applyFont="1"/>
    <xf numFmtId="167" fontId="3" fillId="0" borderId="0" xfId="1" applyNumberFormat="1" applyFont="1"/>
    <xf numFmtId="0" fontId="5" fillId="0" borderId="0" xfId="0" applyFont="1" applyAlignment="1">
      <alignment horizontal="center" vertical="center"/>
    </xf>
    <xf numFmtId="0" fontId="3" fillId="0" borderId="0" xfId="0" pivotButton="1" applyFont="1"/>
  </cellXfs>
  <cellStyles count="2">
    <cellStyle name="Currency" xfId="1" builtinId="4"/>
    <cellStyle name="Normal" xfId="0" builtinId="0"/>
  </cellStyles>
  <dxfs count="133"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numFmt numFmtId="164" formatCode="&quot;Rp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numFmt numFmtId="167" formatCode="_-&quot;Rp&quot;* #,##0_-;\-&quot;Rp&quot;* #,##0_-;_-&quot;Rp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numFmt numFmtId="166" formatCode="_-[$Rp-3809]* #,##0_-;\-[$Rp-3809]* #,##0_-;_-[$Rp-3809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numFmt numFmtId="165" formatCode="dd\-m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numFmt numFmtId="166" formatCode="_-[$Rp-3809]* #,##0_-;\-[$Rp-3809]* #,##0_-;_-[$Rp-3809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Poppins"/>
        <scheme val="none"/>
      </font>
      <alignment horizontal="lef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oppins"/>
        <scheme val="none"/>
      </font>
      <alignment horizontal="center" vertical="bottom" textRotation="0" wrapText="0" indent="0" justifyLastLine="0" shrinkToFit="0" readingOrder="0"/>
    </dxf>
    <dxf>
      <font>
        <b/>
        <i val="0"/>
        <sz val="11"/>
        <color theme="1"/>
        <name val="Poppins"/>
        <scheme val="none"/>
      </font>
    </dxf>
    <dxf>
      <font>
        <b val="0"/>
        <i val="0"/>
        <sz val="8"/>
        <name val="Poppins"/>
        <scheme val="none"/>
      </font>
      <fill>
        <patternFill patternType="solid">
          <fgColor theme="0"/>
          <bgColor theme="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1" defaultTableStyle="TableStyleMedium2" defaultPivotStyle="PivotStyleLight16">
    <tableStyle name="Total Sales Timeline Style" pivot="0" table="0" count="8" xr9:uid="{8345751D-B822-4E6B-8515-F3791BF22641}">
      <tableStyleElement type="wholeTable" dxfId="132"/>
      <tableStyleElement type="headerRow" dxfId="13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6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1"/>
            </patternFill>
          </fill>
        </dxf>
        <dxf>
          <font>
            <b val="0"/>
            <i val="0"/>
            <sz val="9"/>
            <color auto="1"/>
            <name val="Poppins"/>
            <scheme val="none"/>
          </font>
        </dxf>
        <dxf>
          <font>
            <b val="0"/>
            <i val="0"/>
            <sz val="9"/>
            <color auto="1"/>
            <name val="Poppins"/>
            <scheme val="none"/>
          </font>
        </dxf>
        <dxf>
          <font>
            <b val="0"/>
            <i val="0"/>
            <sz val="9"/>
            <color auto="1"/>
            <name val="Poppins"/>
            <scheme val="none"/>
          </font>
        </dxf>
        <dxf>
          <font>
            <b val="0"/>
            <i val="0"/>
            <sz val="10"/>
            <color theme="1"/>
            <name val="Poppins"/>
            <scheme val="none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otal Sales Timeline Style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1/relationships/timelineCache" Target="timelineCaches/timelineCache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microsoft.com/office/2011/relationships/timelineCache" Target="timelineCaches/timelineCache5.xml"/><Relationship Id="rId2" Type="http://schemas.openxmlformats.org/officeDocument/2006/relationships/worksheet" Target="worksheets/sheet2.xml"/><Relationship Id="rId16" Type="http://schemas.microsoft.com/office/2011/relationships/timelineCache" Target="timelineCaches/timelineCache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microsoft.com/office/2011/relationships/timelineCache" Target="timelineCaches/timelineCache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1/relationships/timelineCache" Target="timelineCaches/timelineCache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[Study Case 1.xlsx]TotalSalesFlashdisk!TotalSales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ysClr val="windowText" lastClr="000000"/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r>
              <a:rPr lang="en-US" sz="1100" b="1">
                <a:solidFill>
                  <a:sysClr val="windowText" lastClr="000000"/>
                </a:solidFill>
                <a:latin typeface="Poppins" panose="00000500000000000000" pitchFamily="2" charset="0"/>
                <a:cs typeface="Poppins" panose="00000500000000000000" pitchFamily="2" charset="0"/>
              </a:rPr>
              <a:t>Total Penjualan Flashdisk 64GB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TotalSalesFlashdisk!$C$4:$C$5</c:f>
              <c:strCache>
                <c:ptCount val="1"/>
                <c:pt idx="0">
                  <c:v>Flashdisk 64GB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TotalSalesFlashdisk!$A$6:$B$7</c:f>
              <c:multiLvlStrCache>
                <c:ptCount val="2"/>
                <c:lvl>
                  <c:pt idx="0">
                    <c:v>Mar</c:v>
                  </c:pt>
                  <c:pt idx="1">
                    <c:v>Apr</c:v>
                  </c:pt>
                </c:lvl>
                <c:lvl>
                  <c:pt idx="0">
                    <c:v>2023</c:v>
                  </c:pt>
                </c:lvl>
              </c:multiLvlStrCache>
            </c:multiLvlStrRef>
          </c:cat>
          <c:val>
            <c:numRef>
              <c:f>TotalSalesFlashdisk!$C$6:$C$7</c:f>
              <c:numCache>
                <c:formatCode>"Rp"#,##0</c:formatCode>
                <c:ptCount val="2"/>
                <c:pt idx="0">
                  <c:v>570000</c:v>
                </c:pt>
                <c:pt idx="1">
                  <c:v>380000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83E-49F1-8A35-A528F3F97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6029487"/>
        <c:axId val="1011588175"/>
      </c:lineChart>
      <c:catAx>
        <c:axId val="1136029487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n-US"/>
          </a:p>
        </c:txPr>
        <c:crossAx val="1011588175"/>
        <c:crosses val="autoZero"/>
        <c:auto val="1"/>
        <c:lblAlgn val="ctr"/>
        <c:lblOffset val="100"/>
        <c:noMultiLvlLbl val="0"/>
      </c:catAx>
      <c:valAx>
        <c:axId val="101158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n-US"/>
          </a:p>
        </c:txPr>
        <c:crossAx val="113602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[Study Case 1.xlsx]TotalSalesKeyboard!TotalSales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ysClr val="windowText" lastClr="000000"/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r>
              <a:rPr lang="en-US" sz="1100" b="1">
                <a:solidFill>
                  <a:sysClr val="windowText" lastClr="000000"/>
                </a:solidFill>
                <a:latin typeface="Poppins" panose="00000500000000000000" pitchFamily="2" charset="0"/>
                <a:cs typeface="Poppins" panose="00000500000000000000" pitchFamily="2" charset="0"/>
              </a:rPr>
              <a:t>Total Penjualan Keyboard</a:t>
            </a:r>
            <a:r>
              <a:rPr lang="en-US" sz="1100" b="1" baseline="0">
                <a:solidFill>
                  <a:sysClr val="windowText" lastClr="000000"/>
                </a:solidFill>
                <a:latin typeface="Poppins" panose="00000500000000000000" pitchFamily="2" charset="0"/>
                <a:cs typeface="Poppins" panose="00000500000000000000" pitchFamily="2" charset="0"/>
              </a:rPr>
              <a:t> Mechanical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TotalSalesKeyboard!$C$4:$C$5</c:f>
              <c:strCache>
                <c:ptCount val="1"/>
                <c:pt idx="0">
                  <c:v>Keyboard Mechanical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TotalSalesKeyboard!$A$6:$B$24</c:f>
              <c:multiLvlStrCache>
                <c:ptCount val="19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May</c:v>
                  </c:pt>
                  <c:pt idx="4">
                    <c:v>Jun</c:v>
                  </c:pt>
                  <c:pt idx="5">
                    <c:v>Jul</c:v>
                  </c:pt>
                  <c:pt idx="6">
                    <c:v>Aug</c:v>
                  </c:pt>
                  <c:pt idx="7">
                    <c:v>Oct</c:v>
                  </c:pt>
                  <c:pt idx="8">
                    <c:v>Nov</c:v>
                  </c:pt>
                  <c:pt idx="9">
                    <c:v>Dec</c:v>
                  </c:pt>
                  <c:pt idx="10">
                    <c:v>Jan</c:v>
                  </c:pt>
                  <c:pt idx="11">
                    <c:v>Mar</c:v>
                  </c:pt>
                  <c:pt idx="12">
                    <c:v>Apr</c:v>
                  </c:pt>
                  <c:pt idx="13">
                    <c:v>May</c:v>
                  </c:pt>
                  <c:pt idx="14">
                    <c:v>Jun</c:v>
                  </c:pt>
                  <c:pt idx="15">
                    <c:v>Sep</c:v>
                  </c:pt>
                  <c:pt idx="16">
                    <c:v>Oct</c:v>
                  </c:pt>
                  <c:pt idx="17">
                    <c:v>Nov</c:v>
                  </c:pt>
                  <c:pt idx="18">
                    <c:v>Jan</c:v>
                  </c:pt>
                </c:lvl>
                <c:lvl>
                  <c:pt idx="0">
                    <c:v>2023</c:v>
                  </c:pt>
                  <c:pt idx="10">
                    <c:v>2024</c:v>
                  </c:pt>
                  <c:pt idx="18">
                    <c:v>2025</c:v>
                  </c:pt>
                </c:lvl>
              </c:multiLvlStrCache>
            </c:multiLvlStrRef>
          </c:cat>
          <c:val>
            <c:numRef>
              <c:f>TotalSalesKeyboard!$C$6:$C$24</c:f>
              <c:numCache>
                <c:formatCode>"Rp"#,##0</c:formatCode>
                <c:ptCount val="19"/>
                <c:pt idx="0">
                  <c:v>450000</c:v>
                </c:pt>
                <c:pt idx="1">
                  <c:v>900000</c:v>
                </c:pt>
                <c:pt idx="2">
                  <c:v>1215000</c:v>
                </c:pt>
                <c:pt idx="3">
                  <c:v>900000</c:v>
                </c:pt>
                <c:pt idx="4">
                  <c:v>450000</c:v>
                </c:pt>
                <c:pt idx="5">
                  <c:v>450000</c:v>
                </c:pt>
                <c:pt idx="6">
                  <c:v>900000</c:v>
                </c:pt>
                <c:pt idx="7">
                  <c:v>450000</c:v>
                </c:pt>
                <c:pt idx="8">
                  <c:v>900000</c:v>
                </c:pt>
                <c:pt idx="9">
                  <c:v>450000</c:v>
                </c:pt>
                <c:pt idx="10">
                  <c:v>900000</c:v>
                </c:pt>
                <c:pt idx="11">
                  <c:v>900000</c:v>
                </c:pt>
                <c:pt idx="12">
                  <c:v>450000</c:v>
                </c:pt>
                <c:pt idx="13">
                  <c:v>450000</c:v>
                </c:pt>
                <c:pt idx="14">
                  <c:v>450000</c:v>
                </c:pt>
                <c:pt idx="15">
                  <c:v>1800000</c:v>
                </c:pt>
                <c:pt idx="16">
                  <c:v>900000</c:v>
                </c:pt>
                <c:pt idx="17">
                  <c:v>1215000</c:v>
                </c:pt>
                <c:pt idx="18">
                  <c:v>900000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88-4B13-A6D4-D85A05DAE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6029487"/>
        <c:axId val="1011588175"/>
      </c:lineChart>
      <c:catAx>
        <c:axId val="1136029487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n-US"/>
          </a:p>
        </c:txPr>
        <c:crossAx val="1011588175"/>
        <c:crosses val="autoZero"/>
        <c:auto val="1"/>
        <c:lblAlgn val="ctr"/>
        <c:lblOffset val="100"/>
        <c:noMultiLvlLbl val="0"/>
      </c:catAx>
      <c:valAx>
        <c:axId val="101158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n-US"/>
          </a:p>
        </c:txPr>
        <c:crossAx val="113602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[Study Case 1.xlsx]TotalSalesMonitor!TotalSales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ysClr val="windowText" lastClr="000000"/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r>
              <a:rPr lang="en-US" sz="1100" b="1">
                <a:solidFill>
                  <a:sysClr val="windowText" lastClr="000000"/>
                </a:solidFill>
                <a:latin typeface="Poppins" panose="00000500000000000000" pitchFamily="2" charset="0"/>
                <a:cs typeface="Poppins" panose="00000500000000000000" pitchFamily="2" charset="0"/>
              </a:rPr>
              <a:t>Total Penjualan Monitor 27 Inch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TotalSalesMonitor!$C$4:$C$5</c:f>
              <c:strCache>
                <c:ptCount val="1"/>
                <c:pt idx="0">
                  <c:v>Monitor 27 Inch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TotalSalesMonitor!$A$6:$B$13</c:f>
              <c:multiLvlStrCache>
                <c:ptCount val="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May</c:v>
                  </c:pt>
                  <c:pt idx="4">
                    <c:v>Jun</c:v>
                  </c:pt>
                  <c:pt idx="5">
                    <c:v>Jul</c:v>
                  </c:pt>
                  <c:pt idx="6">
                    <c:v>Aug</c:v>
                  </c:pt>
                  <c:pt idx="7">
                    <c:v>Sep</c:v>
                  </c:pt>
                </c:lvl>
                <c:lvl>
                  <c:pt idx="0">
                    <c:v>2023</c:v>
                  </c:pt>
                </c:lvl>
              </c:multiLvlStrCache>
            </c:multiLvlStrRef>
          </c:cat>
          <c:val>
            <c:numRef>
              <c:f>TotalSalesMonitor!$C$6:$C$13</c:f>
              <c:numCache>
                <c:formatCode>"Rp"#,##0</c:formatCode>
                <c:ptCount val="8"/>
                <c:pt idx="0">
                  <c:v>1890000</c:v>
                </c:pt>
                <c:pt idx="1">
                  <c:v>4200000</c:v>
                </c:pt>
                <c:pt idx="2">
                  <c:v>1890000</c:v>
                </c:pt>
                <c:pt idx="3">
                  <c:v>3780000</c:v>
                </c:pt>
                <c:pt idx="4">
                  <c:v>2100000</c:v>
                </c:pt>
                <c:pt idx="5">
                  <c:v>3780000</c:v>
                </c:pt>
                <c:pt idx="6">
                  <c:v>4200000</c:v>
                </c:pt>
                <c:pt idx="7">
                  <c:v>1890000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BE-40BE-8B21-6A7F167C9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6029487"/>
        <c:axId val="1011588175"/>
      </c:lineChart>
      <c:catAx>
        <c:axId val="1136029487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n-US"/>
          </a:p>
        </c:txPr>
        <c:crossAx val="1011588175"/>
        <c:crosses val="autoZero"/>
        <c:auto val="1"/>
        <c:lblAlgn val="ctr"/>
        <c:lblOffset val="100"/>
        <c:noMultiLvlLbl val="0"/>
      </c:catAx>
      <c:valAx>
        <c:axId val="101158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n-US"/>
          </a:p>
        </c:txPr>
        <c:crossAx val="113602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[Study Case 1.xlsx]TotalSalesLaptopPro!TotalSales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ysClr val="windowText" lastClr="000000"/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r>
              <a:rPr lang="en-US" sz="1100" b="1">
                <a:solidFill>
                  <a:sysClr val="windowText" lastClr="000000"/>
                </a:solidFill>
                <a:latin typeface="Poppins" panose="00000500000000000000" pitchFamily="2" charset="0"/>
                <a:cs typeface="Poppins" panose="00000500000000000000" pitchFamily="2" charset="0"/>
              </a:rPr>
              <a:t>Total Penjualan Laptop</a:t>
            </a:r>
            <a:r>
              <a:rPr lang="en-US" sz="1100" b="1" baseline="0">
                <a:solidFill>
                  <a:sysClr val="windowText" lastClr="000000"/>
                </a:solidFill>
                <a:latin typeface="Poppins" panose="00000500000000000000" pitchFamily="2" charset="0"/>
                <a:cs typeface="Poppins" panose="00000500000000000000" pitchFamily="2" charset="0"/>
              </a:rPr>
              <a:t> Pro 14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TotalSalesLaptopPro!$C$4:$C$5</c:f>
              <c:strCache>
                <c:ptCount val="1"/>
                <c:pt idx="0">
                  <c:v>Laptop Pro 14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TotalSalesLaptopPro!$A$6:$B$13</c:f>
              <c:multiLvlStrCache>
                <c:ptCount val="8"/>
                <c:lvl>
                  <c:pt idx="0">
                    <c:v>Mar</c:v>
                  </c:pt>
                  <c:pt idx="1">
                    <c:v>Apr</c:v>
                  </c:pt>
                  <c:pt idx="2">
                    <c:v>May</c:v>
                  </c:pt>
                  <c:pt idx="3">
                    <c:v>Aug</c:v>
                  </c:pt>
                  <c:pt idx="4">
                    <c:v>Sep</c:v>
                  </c:pt>
                  <c:pt idx="5">
                    <c:v>Oct</c:v>
                  </c:pt>
                  <c:pt idx="6">
                    <c:v>Nov</c:v>
                  </c:pt>
                  <c:pt idx="7">
                    <c:v>Jan</c:v>
                  </c:pt>
                </c:lvl>
                <c:lvl>
                  <c:pt idx="0">
                    <c:v>2023</c:v>
                  </c:pt>
                  <c:pt idx="7">
                    <c:v>2024</c:v>
                  </c:pt>
                </c:lvl>
              </c:multiLvlStrCache>
            </c:multiLvlStrRef>
          </c:cat>
          <c:val>
            <c:numRef>
              <c:f>TotalSalesLaptopPro!$C$6:$C$13</c:f>
              <c:numCache>
                <c:formatCode>"Rp"#,##0</c:formatCode>
                <c:ptCount val="8"/>
                <c:pt idx="0">
                  <c:v>11250000</c:v>
                </c:pt>
                <c:pt idx="1">
                  <c:v>25000000</c:v>
                </c:pt>
                <c:pt idx="2">
                  <c:v>22500000</c:v>
                </c:pt>
                <c:pt idx="3">
                  <c:v>25000000</c:v>
                </c:pt>
                <c:pt idx="4">
                  <c:v>11250000</c:v>
                </c:pt>
                <c:pt idx="5">
                  <c:v>12500000</c:v>
                </c:pt>
                <c:pt idx="6">
                  <c:v>11250000</c:v>
                </c:pt>
                <c:pt idx="7">
                  <c:v>11250000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1F-464D-8FDD-AE4881AB2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6029487"/>
        <c:axId val="1011588175"/>
      </c:lineChart>
      <c:catAx>
        <c:axId val="1136029487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n-US"/>
          </a:p>
        </c:txPr>
        <c:crossAx val="1011588175"/>
        <c:crosses val="autoZero"/>
        <c:auto val="1"/>
        <c:lblAlgn val="ctr"/>
        <c:lblOffset val="100"/>
        <c:noMultiLvlLbl val="0"/>
      </c:catAx>
      <c:valAx>
        <c:axId val="101158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n-US"/>
          </a:p>
        </c:txPr>
        <c:crossAx val="113602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[Study Case 1.xlsx]TotalSalesMouse!TotalSales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ysClr val="windowText" lastClr="000000"/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r>
              <a:rPr lang="en-US" sz="1100" b="1">
                <a:solidFill>
                  <a:sysClr val="windowText" lastClr="000000"/>
                </a:solidFill>
                <a:latin typeface="Poppins" panose="00000500000000000000" pitchFamily="2" charset="0"/>
                <a:cs typeface="Poppins" panose="00000500000000000000" pitchFamily="2" charset="0"/>
              </a:rPr>
              <a:t>Total Penjualan Mouse Wireless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TotalSalesMouse!$C$4:$C$5</c:f>
              <c:strCache>
                <c:ptCount val="1"/>
                <c:pt idx="0">
                  <c:v>Mouse Wireless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TotalSalesMouse!$A$6:$B$13</c:f>
              <c:multiLvlStrCache>
                <c:ptCount val="8"/>
                <c:lvl>
                  <c:pt idx="0">
                    <c:v>Jan</c:v>
                  </c:pt>
                  <c:pt idx="1">
                    <c:v>Feb</c:v>
                  </c:pt>
                  <c:pt idx="2">
                    <c:v>Apr</c:v>
                  </c:pt>
                  <c:pt idx="3">
                    <c:v>May</c:v>
                  </c:pt>
                  <c:pt idx="4">
                    <c:v>Jun</c:v>
                  </c:pt>
                  <c:pt idx="5">
                    <c:v>Jul</c:v>
                  </c:pt>
                  <c:pt idx="6">
                    <c:v>Sep</c:v>
                  </c:pt>
                  <c:pt idx="7">
                    <c:v>Oct</c:v>
                  </c:pt>
                </c:lvl>
                <c:lvl>
                  <c:pt idx="0">
                    <c:v>2023</c:v>
                  </c:pt>
                </c:lvl>
              </c:multiLvlStrCache>
            </c:multiLvlStrRef>
          </c:cat>
          <c:val>
            <c:numRef>
              <c:f>TotalSalesMouse!$C$6:$C$13</c:f>
              <c:numCache>
                <c:formatCode>"Rp"#,##0</c:formatCode>
                <c:ptCount val="8"/>
                <c:pt idx="0">
                  <c:v>150000</c:v>
                </c:pt>
                <c:pt idx="1">
                  <c:v>150000</c:v>
                </c:pt>
                <c:pt idx="2">
                  <c:v>450000</c:v>
                </c:pt>
                <c:pt idx="3">
                  <c:v>450000</c:v>
                </c:pt>
                <c:pt idx="4">
                  <c:v>450000</c:v>
                </c:pt>
                <c:pt idx="5">
                  <c:v>1350000</c:v>
                </c:pt>
                <c:pt idx="6">
                  <c:v>750000</c:v>
                </c:pt>
                <c:pt idx="7">
                  <c:v>600000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E5-4963-8DC2-E59BB3CD9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6029487"/>
        <c:axId val="1011588175"/>
      </c:lineChart>
      <c:catAx>
        <c:axId val="1136029487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n-US"/>
          </a:p>
        </c:txPr>
        <c:crossAx val="1011588175"/>
        <c:crosses val="autoZero"/>
        <c:auto val="1"/>
        <c:lblAlgn val="ctr"/>
        <c:lblOffset val="100"/>
        <c:noMultiLvlLbl val="0"/>
      </c:catAx>
      <c:valAx>
        <c:axId val="101158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n-US"/>
          </a:p>
        </c:txPr>
        <c:crossAx val="113602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[Study Case 1.xlsx]CategorySales!TotalSales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>
                <a:solidFill>
                  <a:sysClr val="windowText" lastClr="000000"/>
                </a:solidFill>
                <a:latin typeface="Poppins" panose="00000500000000000000" pitchFamily="2" charset="0"/>
                <a:cs typeface="Poppins" panose="00000500000000000000" pitchFamily="2" charset="0"/>
              </a:rPr>
              <a:t>Total Penjualan Per Kategori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Poppins" panose="00000500000000000000" pitchFamily="2" charset="0"/>
                  <a:ea typeface="+mn-ea"/>
                  <a:cs typeface="Poppins" panose="00000500000000000000" pitchFamily="2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CategorySales!$B$4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CategorySales!$A$5:$A$6</c:f>
              <c:strCache>
                <c:ptCount val="2"/>
                <c:pt idx="0">
                  <c:v>Aksesoris</c:v>
                </c:pt>
                <c:pt idx="1">
                  <c:v>Komputer</c:v>
                </c:pt>
              </c:strCache>
            </c:strRef>
          </c:cat>
          <c:val>
            <c:numRef>
              <c:f>CategorySales!$B$5:$B$6</c:f>
              <c:numCache>
                <c:formatCode>"Rp"#,##0</c:formatCode>
                <c:ptCount val="2"/>
                <c:pt idx="0">
                  <c:v>35060000</c:v>
                </c:pt>
                <c:pt idx="1">
                  <c:v>345500000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0A-43E7-87C3-889AA5FE55A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[Study Case 1.xlsx]Top5Sales!TotalSales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>
                <a:solidFill>
                  <a:sysClr val="windowText" lastClr="000000"/>
                </a:solidFill>
                <a:latin typeface="Poppins" panose="00000500000000000000" pitchFamily="2" charset="0"/>
                <a:cs typeface="Poppins" panose="00000500000000000000" pitchFamily="2" charset="0"/>
              </a:rPr>
              <a:t>Top 5 Sales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Top5Sales!$B$4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Top5Sales!$A$5:$A$9</c:f>
              <c:strCache>
                <c:ptCount val="5"/>
                <c:pt idx="0">
                  <c:v>Budi Santoso</c:v>
                </c:pt>
                <c:pt idx="1">
                  <c:v>Dewi Lestari</c:v>
                </c:pt>
                <c:pt idx="2">
                  <c:v>Eko Prasetyo</c:v>
                </c:pt>
                <c:pt idx="3">
                  <c:v>Nina Herlina</c:v>
                </c:pt>
                <c:pt idx="4">
                  <c:v>Umay Shahab</c:v>
                </c:pt>
              </c:strCache>
            </c:strRef>
          </c:cat>
          <c:val>
            <c:numRef>
              <c:f>Top5Sales!$B$5:$B$9</c:f>
              <c:numCache>
                <c:formatCode>"Rp"#,##0</c:formatCode>
                <c:ptCount val="5"/>
                <c:pt idx="0">
                  <c:v>24990000</c:v>
                </c:pt>
                <c:pt idx="1">
                  <c:v>25830000</c:v>
                </c:pt>
                <c:pt idx="2">
                  <c:v>27630000</c:v>
                </c:pt>
                <c:pt idx="3">
                  <c:v>30575000</c:v>
                </c:pt>
                <c:pt idx="4">
                  <c:v>24950000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6E-4C3D-9C5D-30BD510B5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2403135"/>
        <c:axId val="1382300687"/>
      </c:barChart>
      <c:catAx>
        <c:axId val="1512403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n-US"/>
          </a:p>
        </c:txPr>
        <c:crossAx val="1382300687"/>
        <c:crosses val="autoZero"/>
        <c:auto val="1"/>
        <c:lblAlgn val="ctr"/>
        <c:lblOffset val="100"/>
        <c:noMultiLvlLbl val="0"/>
      </c:catAx>
      <c:valAx>
        <c:axId val="138230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n-US"/>
          </a:p>
        </c:txPr>
        <c:crossAx val="1512403135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2.3557126030624265E-2"/>
                <c:y val="0.50694444444444442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ID" sz="800" b="1">
                      <a:solidFill>
                        <a:sysClr val="windowText" lastClr="000000"/>
                      </a:solidFill>
                      <a:latin typeface="Poppins" panose="00000500000000000000" pitchFamily="2" charset="0"/>
                      <a:cs typeface="Poppins" panose="00000500000000000000" pitchFamily="2" charset="0"/>
                    </a:rPr>
                    <a:t>Juta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1347786</xdr:colOff>
      <xdr:row>3</xdr:row>
      <xdr:rowOff>0</xdr:rowOff>
    </xdr:from>
    <xdr:to>
      <xdr:col>12</xdr:col>
      <xdr:colOff>9525</xdr:colOff>
      <xdr:row>17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D3B804-C118-C860-FF2E-DB397FAB78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1304924</xdr:colOff>
      <xdr:row>19</xdr:row>
      <xdr:rowOff>19049</xdr:rowOff>
    </xdr:from>
    <xdr:to>
      <xdr:col>12</xdr:col>
      <xdr:colOff>47624</xdr:colOff>
      <xdr:row>26</xdr:row>
      <xdr:rowOff>180974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6" name="Tanggal Beli">
              <a:extLst>
                <a:ext uri="{FF2B5EF4-FFF2-40B4-BE49-F238E27FC236}">
                  <a16:creationId xmlns:a16="http://schemas.microsoft.com/office/drawing/2014/main" id="{6A72ACD5-BE3C-65D8-136D-F082FBE41E6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Tanggal Beli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14874" y="3638549"/>
              <a:ext cx="7134225" cy="1495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1347786</xdr:colOff>
      <xdr:row>3</xdr:row>
      <xdr:rowOff>0</xdr:rowOff>
    </xdr:from>
    <xdr:to>
      <xdr:col>12</xdr:col>
      <xdr:colOff>0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4C9154-8B4E-4C32-8365-7338BB81DB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19049</xdr:colOff>
      <xdr:row>19</xdr:row>
      <xdr:rowOff>9525</xdr:rowOff>
    </xdr:from>
    <xdr:to>
      <xdr:col>11</xdr:col>
      <xdr:colOff>828674</xdr:colOff>
      <xdr:row>24</xdr:row>
      <xdr:rowOff>142875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4" name="Tanggal Beli 1">
              <a:extLst>
                <a:ext uri="{FF2B5EF4-FFF2-40B4-BE49-F238E27FC236}">
                  <a16:creationId xmlns:a16="http://schemas.microsoft.com/office/drawing/2014/main" id="{D71BE7C3-1EF1-0BA4-028B-C80CAA0051A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Tanggal Beli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24449" y="3629025"/>
              <a:ext cx="7019925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1347786</xdr:colOff>
      <xdr:row>3</xdr:row>
      <xdr:rowOff>0</xdr:rowOff>
    </xdr:from>
    <xdr:to>
      <xdr:col>12</xdr:col>
      <xdr:colOff>47625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96D516-238F-4F04-9170-E33663A6B5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9524</xdr:colOff>
      <xdr:row>19</xdr:row>
      <xdr:rowOff>9525</xdr:rowOff>
    </xdr:from>
    <xdr:to>
      <xdr:col>12</xdr:col>
      <xdr:colOff>28574</xdr:colOff>
      <xdr:row>26</xdr:row>
      <xdr:rowOff>47625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3" name="Tanggal Beli 2">
              <a:extLst>
                <a:ext uri="{FF2B5EF4-FFF2-40B4-BE49-F238E27FC236}">
                  <a16:creationId xmlns:a16="http://schemas.microsoft.com/office/drawing/2014/main" id="{8A693B4D-5C0F-8255-17CA-F40FFFE995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Tanggal Beli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72024" y="3629025"/>
              <a:ext cx="7058025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1347786</xdr:colOff>
      <xdr:row>3</xdr:row>
      <xdr:rowOff>0</xdr:rowOff>
    </xdr:from>
    <xdr:to>
      <xdr:col>12</xdr:col>
      <xdr:colOff>47625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C1956E-0262-464F-87EF-9B1422A223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19049</xdr:colOff>
      <xdr:row>19</xdr:row>
      <xdr:rowOff>0</xdr:rowOff>
    </xdr:from>
    <xdr:to>
      <xdr:col>11</xdr:col>
      <xdr:colOff>809624</xdr:colOff>
      <xdr:row>26</xdr:row>
      <xdr:rowOff>38100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3" name="Tanggal Beli 3">
              <a:extLst>
                <a:ext uri="{FF2B5EF4-FFF2-40B4-BE49-F238E27FC236}">
                  <a16:creationId xmlns:a16="http://schemas.microsoft.com/office/drawing/2014/main" id="{C63EEAAC-1DFA-7969-97EB-713CC7E0D0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Tanggal Beli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81549" y="3619500"/>
              <a:ext cx="7000875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1347786</xdr:colOff>
      <xdr:row>3</xdr:row>
      <xdr:rowOff>0</xdr:rowOff>
    </xdr:from>
    <xdr:to>
      <xdr:col>12</xdr:col>
      <xdr:colOff>47625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8FF99C-8E7C-4233-8C87-95B85F5F4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1343025</xdr:colOff>
      <xdr:row>19</xdr:row>
      <xdr:rowOff>19050</xdr:rowOff>
    </xdr:from>
    <xdr:to>
      <xdr:col>12</xdr:col>
      <xdr:colOff>19050</xdr:colOff>
      <xdr:row>26</xdr:row>
      <xdr:rowOff>57150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3" name="Tanggal Beli 4">
              <a:extLst>
                <a:ext uri="{FF2B5EF4-FFF2-40B4-BE49-F238E27FC236}">
                  <a16:creationId xmlns:a16="http://schemas.microsoft.com/office/drawing/2014/main" id="{8C10621A-17CD-C798-0EAC-3447DE3C44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Tanggal Beli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81550" y="3638550"/>
              <a:ext cx="70675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466725</xdr:colOff>
      <xdr:row>2</xdr:row>
      <xdr:rowOff>95250</xdr:rowOff>
    </xdr:from>
    <xdr:to>
      <xdr:col>6</xdr:col>
      <xdr:colOff>790575</xdr:colOff>
      <xdr:row>16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96EAECF-A361-2CE8-27E4-30B11A9B6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1</xdr:row>
      <xdr:rowOff>28575</xdr:rowOff>
    </xdr:from>
    <xdr:to>
      <xdr:col>8</xdr:col>
      <xdr:colOff>819150</xdr:colOff>
      <xdr:row>15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4C2B2A-0CC6-853C-C285-AC4892D4B9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dy\Documents\DATA%20ANALYST\MICROSOFT%20EXCEL\STUDY%20CASE\STUDY%20CASE%201\SC1%20-%20EXCEL.xlsx" TargetMode="External"/><Relationship Id="rId1" Type="http://schemas.openxmlformats.org/officeDocument/2006/relationships/externalLinkPath" Target="SC1%20-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Mentah"/>
      <sheetName val="Tabel Referensi"/>
      <sheetName val="Data Bersih"/>
      <sheetName val="Dashboard"/>
    </sheetNames>
    <sheetDataSet>
      <sheetData sheetId="0">
        <row r="1">
          <cell r="A1" t="str">
            <v>ID</v>
          </cell>
          <cell r="B1" t="str">
            <v>Nama Kasir</v>
          </cell>
          <cell r="C1" t="str">
            <v>Kode Produk</v>
          </cell>
          <cell r="D1" t="str">
            <v>Tanggal Beli</v>
          </cell>
          <cell r="E1" t="str">
            <v>Qty</v>
          </cell>
          <cell r="F1" t="str">
            <v>Member</v>
          </cell>
        </row>
        <row r="2">
          <cell r="A2" t="str">
            <v>TRX-001</v>
          </cell>
          <cell r="B2" t="str">
            <v>budi santoso</v>
          </cell>
          <cell r="C2" t="str">
            <v>P-01</v>
          </cell>
          <cell r="D2">
            <v>44938</v>
          </cell>
          <cell r="E2">
            <v>2</v>
          </cell>
          <cell r="F2" t="str">
            <v>Ya</v>
          </cell>
        </row>
        <row r="3">
          <cell r="A3" t="str">
            <v>TRX-002</v>
          </cell>
          <cell r="B3" t="str">
            <v>SITI AMINAH</v>
          </cell>
          <cell r="C3" t="str">
            <v>P-02</v>
          </cell>
          <cell r="D3">
            <v>44972</v>
          </cell>
          <cell r="E3">
            <v>1</v>
          </cell>
          <cell r="F3" t="str">
            <v>Tidak</v>
          </cell>
        </row>
        <row r="4">
          <cell r="A4" t="str">
            <v>TRX-003</v>
          </cell>
          <cell r="B4" t="str">
            <v>andi wijaya</v>
          </cell>
          <cell r="C4" t="str">
            <v>P-03</v>
          </cell>
          <cell r="D4">
            <v>44995</v>
          </cell>
          <cell r="E4">
            <v>3</v>
          </cell>
          <cell r="F4" t="str">
            <v>Ya</v>
          </cell>
        </row>
        <row r="5">
          <cell r="A5" t="str">
            <v>TRX-004</v>
          </cell>
          <cell r="B5" t="str">
            <v>dewi lestari</v>
          </cell>
          <cell r="C5" t="str">
            <v>P-01</v>
          </cell>
          <cell r="D5">
            <v>45021</v>
          </cell>
          <cell r="E5">
            <v>1</v>
          </cell>
          <cell r="F5" t="str">
            <v>Tidak</v>
          </cell>
        </row>
        <row r="6">
          <cell r="A6" t="str">
            <v>TRX-005</v>
          </cell>
          <cell r="B6" t="str">
            <v>Eko Prasetyo</v>
          </cell>
          <cell r="C6" t="str">
            <v>P-04</v>
          </cell>
          <cell r="D6">
            <v>45058</v>
          </cell>
          <cell r="E6">
            <v>2</v>
          </cell>
          <cell r="F6" t="str">
            <v>Ya</v>
          </cell>
        </row>
        <row r="7">
          <cell r="A7" t="str">
            <v>TRX-006</v>
          </cell>
          <cell r="B7" t="str">
            <v>Rina mr</v>
          </cell>
          <cell r="C7" t="str">
            <v>P-05</v>
          </cell>
          <cell r="D7">
            <v>45097</v>
          </cell>
          <cell r="E7">
            <v>5</v>
          </cell>
          <cell r="F7" t="str">
            <v>Tidak</v>
          </cell>
        </row>
        <row r="8">
          <cell r="A8" t="str">
            <v>TRX-007</v>
          </cell>
          <cell r="B8" t="str">
            <v>AGUS SUPRIYADI</v>
          </cell>
          <cell r="C8" t="str">
            <v>P-02</v>
          </cell>
          <cell r="D8">
            <v>45129</v>
          </cell>
          <cell r="E8">
            <v>10</v>
          </cell>
          <cell r="F8" t="str">
            <v>Ya</v>
          </cell>
        </row>
        <row r="9">
          <cell r="A9" t="str">
            <v>TRX-008</v>
          </cell>
          <cell r="B9" t="str">
            <v>nina herlina</v>
          </cell>
          <cell r="C9" t="str">
            <v>P-03</v>
          </cell>
          <cell r="D9">
            <v>45146</v>
          </cell>
          <cell r="E9">
            <v>2</v>
          </cell>
          <cell r="F9" t="str">
            <v>Tidak</v>
          </cell>
        </row>
        <row r="10">
          <cell r="A10" t="str">
            <v>TRX-009</v>
          </cell>
          <cell r="B10" t="str">
            <v>Doni Salmanan</v>
          </cell>
          <cell r="C10" t="str">
            <v>P-04</v>
          </cell>
          <cell r="D10">
            <v>45183</v>
          </cell>
          <cell r="E10">
            <v>1</v>
          </cell>
          <cell r="F10" t="str">
            <v>Ya</v>
          </cell>
        </row>
        <row r="11">
          <cell r="A11" t="str">
            <v>TRX-010</v>
          </cell>
          <cell r="B11" t="str">
            <v>Fajar Nugraha</v>
          </cell>
          <cell r="C11" t="str">
            <v>P-05</v>
          </cell>
          <cell r="D11">
            <v>45200</v>
          </cell>
          <cell r="E11">
            <v>3</v>
          </cell>
          <cell r="F11" t="str">
            <v>Tidak</v>
          </cell>
        </row>
        <row r="12">
          <cell r="A12" t="str">
            <v>TRX-011</v>
          </cell>
          <cell r="B12" t="str">
            <v>GINA sonia</v>
          </cell>
          <cell r="C12" t="str">
            <v>P-01</v>
          </cell>
          <cell r="D12">
            <v>45241</v>
          </cell>
          <cell r="E12">
            <v>1</v>
          </cell>
          <cell r="F12" t="str">
            <v>Ya</v>
          </cell>
        </row>
        <row r="13">
          <cell r="A13" t="str">
            <v>TRX-012</v>
          </cell>
          <cell r="B13" t="str">
            <v>Hendra Gunawan</v>
          </cell>
          <cell r="C13" t="str">
            <v>P-02</v>
          </cell>
          <cell r="D13">
            <v>45285</v>
          </cell>
          <cell r="E13">
            <v>4</v>
          </cell>
          <cell r="F13" t="str">
            <v>Tidak</v>
          </cell>
        </row>
        <row r="14">
          <cell r="A14" t="str">
            <v>TRX-013</v>
          </cell>
          <cell r="B14" t="str">
            <v>INDRA BEKTI</v>
          </cell>
          <cell r="C14" t="str">
            <v>P-03</v>
          </cell>
          <cell r="D14">
            <v>45301</v>
          </cell>
          <cell r="E14">
            <v>2</v>
          </cell>
          <cell r="F14" t="str">
            <v>Ya</v>
          </cell>
        </row>
        <row r="15">
          <cell r="A15" t="str">
            <v>TRX-014</v>
          </cell>
          <cell r="B15" t="str">
            <v>joko widodo</v>
          </cell>
          <cell r="C15" t="str">
            <v>P-04</v>
          </cell>
          <cell r="D15">
            <v>45336</v>
          </cell>
          <cell r="E15">
            <v>1</v>
          </cell>
          <cell r="F15" t="str">
            <v>Tidak</v>
          </cell>
        </row>
        <row r="16">
          <cell r="A16" t="str">
            <v>TRX-015</v>
          </cell>
          <cell r="B16" t="str">
            <v>Kiki Amalia</v>
          </cell>
          <cell r="C16" t="str">
            <v>P-05</v>
          </cell>
          <cell r="D16">
            <v>45356</v>
          </cell>
          <cell r="E16">
            <v>8</v>
          </cell>
          <cell r="F16" t="str">
            <v>Ya</v>
          </cell>
        </row>
        <row r="17">
          <cell r="A17" t="str">
            <v>TRX-016</v>
          </cell>
          <cell r="B17" t="str">
            <v>LINA MARLINA</v>
          </cell>
          <cell r="C17" t="str">
            <v>P-01</v>
          </cell>
          <cell r="D17">
            <v>45400</v>
          </cell>
          <cell r="E17">
            <v>1</v>
          </cell>
          <cell r="F17" t="str">
            <v>Tidak</v>
          </cell>
        </row>
        <row r="18">
          <cell r="A18" t="str">
            <v>TRX-017</v>
          </cell>
          <cell r="B18" t="str">
            <v>maman abdurrahman</v>
          </cell>
          <cell r="C18" t="str">
            <v>P-02</v>
          </cell>
          <cell r="D18">
            <v>45434</v>
          </cell>
          <cell r="E18">
            <v>2</v>
          </cell>
          <cell r="F18" t="str">
            <v>Ya</v>
          </cell>
        </row>
        <row r="19">
          <cell r="A19" t="str">
            <v>TRX-018</v>
          </cell>
          <cell r="B19" t="str">
            <v>Nanda Saputra</v>
          </cell>
          <cell r="C19" t="str">
            <v>P-03</v>
          </cell>
          <cell r="D19">
            <v>45450</v>
          </cell>
          <cell r="E19">
            <v>1</v>
          </cell>
          <cell r="F19" t="str">
            <v>Tidak</v>
          </cell>
        </row>
        <row r="20">
          <cell r="A20" t="str">
            <v>TRX-019</v>
          </cell>
          <cell r="B20" t="str">
            <v>Oki Setiana</v>
          </cell>
          <cell r="C20" t="str">
            <v>P-04</v>
          </cell>
          <cell r="D20">
            <v>45492</v>
          </cell>
          <cell r="E20">
            <v>4</v>
          </cell>
          <cell r="F20" t="str">
            <v>Ya</v>
          </cell>
        </row>
        <row r="21">
          <cell r="A21" t="str">
            <v>TRX-020</v>
          </cell>
          <cell r="B21" t="str">
            <v>PUTRI TITIAN</v>
          </cell>
          <cell r="C21" t="str">
            <v>P-05</v>
          </cell>
          <cell r="D21">
            <v>45534</v>
          </cell>
          <cell r="E21">
            <v>2</v>
          </cell>
          <cell r="F21" t="str">
            <v>Tidak</v>
          </cell>
        </row>
        <row r="22">
          <cell r="A22" t="str">
            <v>TRX-021</v>
          </cell>
          <cell r="B22" t="str">
            <v>qory sandioriva</v>
          </cell>
          <cell r="C22" t="str">
            <v>P-01</v>
          </cell>
          <cell r="D22">
            <v>45547</v>
          </cell>
          <cell r="E22">
            <v>1</v>
          </cell>
          <cell r="F22" t="str">
            <v>Ya</v>
          </cell>
        </row>
        <row r="23">
          <cell r="A23" t="str">
            <v>TRX-022</v>
          </cell>
          <cell r="B23" t="str">
            <v>reza rahardian</v>
          </cell>
          <cell r="C23" t="str">
            <v>P-02</v>
          </cell>
          <cell r="D23">
            <v>45590</v>
          </cell>
          <cell r="E23">
            <v>5</v>
          </cell>
          <cell r="F23" t="str">
            <v>Tidak</v>
          </cell>
        </row>
        <row r="24">
          <cell r="A24" t="str">
            <v>TRX-023</v>
          </cell>
          <cell r="B24" t="str">
            <v>SISCA SOEWITOMO</v>
          </cell>
          <cell r="C24" t="str">
            <v>P-03</v>
          </cell>
          <cell r="D24">
            <v>45598</v>
          </cell>
          <cell r="E24">
            <v>3</v>
          </cell>
          <cell r="F24" t="str">
            <v>Ya</v>
          </cell>
        </row>
        <row r="25">
          <cell r="A25" t="str">
            <v>TRX-024</v>
          </cell>
          <cell r="B25" t="str">
            <v>Tora Sudiro</v>
          </cell>
          <cell r="C25" t="str">
            <v>P-04</v>
          </cell>
          <cell r="D25">
            <v>45638</v>
          </cell>
          <cell r="E25">
            <v>1</v>
          </cell>
          <cell r="F25" t="str">
            <v>Tidak</v>
          </cell>
        </row>
        <row r="26">
          <cell r="A26" t="str">
            <v>TRX-025</v>
          </cell>
          <cell r="B26" t="str">
            <v>umay shahab</v>
          </cell>
          <cell r="C26" t="str">
            <v>P-05</v>
          </cell>
          <cell r="D26">
            <v>45662</v>
          </cell>
          <cell r="E26">
            <v>10</v>
          </cell>
          <cell r="F26" t="str">
            <v>Ya</v>
          </cell>
        </row>
        <row r="27">
          <cell r="A27" t="str">
            <v>TRX-026</v>
          </cell>
          <cell r="B27" t="str">
            <v>budi santoso</v>
          </cell>
          <cell r="C27" t="str">
            <v>P-02</v>
          </cell>
          <cell r="D27">
            <v>44941</v>
          </cell>
          <cell r="E27">
            <v>1</v>
          </cell>
          <cell r="F27" t="str">
            <v>Ya</v>
          </cell>
        </row>
        <row r="28">
          <cell r="A28" t="str">
            <v>TRX-027</v>
          </cell>
          <cell r="B28" t="str">
            <v>SITI AMINAH</v>
          </cell>
          <cell r="C28" t="str">
            <v>P-03</v>
          </cell>
          <cell r="D28">
            <v>44975</v>
          </cell>
          <cell r="E28">
            <v>2</v>
          </cell>
          <cell r="F28" t="str">
            <v>Tidak</v>
          </cell>
        </row>
        <row r="29">
          <cell r="A29" t="str">
            <v>TRX-028</v>
          </cell>
          <cell r="B29" t="str">
            <v>andi wijaya</v>
          </cell>
          <cell r="C29" t="str">
            <v>P-04</v>
          </cell>
          <cell r="D29">
            <v>44997</v>
          </cell>
          <cell r="E29">
            <v>1</v>
          </cell>
          <cell r="F29" t="str">
            <v>Ya</v>
          </cell>
        </row>
        <row r="30">
          <cell r="A30" t="str">
            <v>TRX-029</v>
          </cell>
          <cell r="B30" t="str">
            <v>dewi lestari</v>
          </cell>
          <cell r="C30" t="str">
            <v>P-05</v>
          </cell>
          <cell r="D30">
            <v>45024</v>
          </cell>
          <cell r="E30">
            <v>4</v>
          </cell>
          <cell r="F30" t="str">
            <v>Tidak</v>
          </cell>
        </row>
        <row r="31">
          <cell r="A31" t="str">
            <v>TRX-030</v>
          </cell>
          <cell r="B31" t="str">
            <v>Eko Prasetyo</v>
          </cell>
          <cell r="C31" t="str">
            <v>P-01</v>
          </cell>
          <cell r="D31">
            <v>45061</v>
          </cell>
          <cell r="E31">
            <v>2</v>
          </cell>
          <cell r="F31" t="str">
            <v>Ya</v>
          </cell>
        </row>
        <row r="32">
          <cell r="A32" t="str">
            <v>TRX-031</v>
          </cell>
          <cell r="B32" t="str">
            <v>Rina mr</v>
          </cell>
          <cell r="C32" t="str">
            <v>P-02</v>
          </cell>
          <cell r="D32">
            <v>45099</v>
          </cell>
          <cell r="E32">
            <v>3</v>
          </cell>
          <cell r="F32" t="str">
            <v>Tidak</v>
          </cell>
        </row>
        <row r="33">
          <cell r="A33" t="str">
            <v>TRX-032</v>
          </cell>
          <cell r="B33" t="str">
            <v>AGUS SUPRIYADI</v>
          </cell>
          <cell r="C33" t="str">
            <v>P-03</v>
          </cell>
          <cell r="D33">
            <v>45132</v>
          </cell>
          <cell r="E33">
            <v>1</v>
          </cell>
          <cell r="F33" t="str">
            <v>Ya</v>
          </cell>
        </row>
        <row r="34">
          <cell r="A34" t="str">
            <v>TRX-033</v>
          </cell>
          <cell r="B34" t="str">
            <v>nina herlina</v>
          </cell>
          <cell r="C34" t="str">
            <v>P-04</v>
          </cell>
          <cell r="D34">
            <v>45148</v>
          </cell>
          <cell r="E34">
            <v>2</v>
          </cell>
          <cell r="F34" t="str">
            <v>Tidak</v>
          </cell>
        </row>
        <row r="35">
          <cell r="A35" t="str">
            <v>TRX-034</v>
          </cell>
          <cell r="B35" t="str">
            <v>Doni Salmanan</v>
          </cell>
          <cell r="C35" t="str">
            <v>P-05</v>
          </cell>
          <cell r="D35">
            <v>45185</v>
          </cell>
          <cell r="E35">
            <v>5</v>
          </cell>
          <cell r="F35" t="str">
            <v>Ya</v>
          </cell>
        </row>
        <row r="36">
          <cell r="A36" t="str">
            <v>TRX-035</v>
          </cell>
          <cell r="B36" t="str">
            <v>Fajar Nugraha</v>
          </cell>
          <cell r="C36" t="str">
            <v>P-01</v>
          </cell>
          <cell r="D36">
            <v>45204</v>
          </cell>
          <cell r="E36">
            <v>1</v>
          </cell>
          <cell r="F36" t="str">
            <v>Tidak</v>
          </cell>
        </row>
        <row r="37">
          <cell r="A37" t="str">
            <v>TRX-036</v>
          </cell>
          <cell r="B37" t="str">
            <v>GINA sonia</v>
          </cell>
          <cell r="C37" t="str">
            <v>P-02</v>
          </cell>
          <cell r="D37">
            <v>45245</v>
          </cell>
          <cell r="E37">
            <v>2</v>
          </cell>
          <cell r="F37" t="str">
            <v>Ya</v>
          </cell>
        </row>
        <row r="38">
          <cell r="A38" t="str">
            <v>TRX-037</v>
          </cell>
          <cell r="B38" t="str">
            <v>Hendra Gunawan</v>
          </cell>
          <cell r="C38" t="str">
            <v>P-03</v>
          </cell>
          <cell r="D38">
            <v>45288</v>
          </cell>
          <cell r="E38">
            <v>1</v>
          </cell>
          <cell r="F38" t="str">
            <v>Tidak</v>
          </cell>
        </row>
        <row r="39">
          <cell r="A39" t="str">
            <v>TRX-038</v>
          </cell>
          <cell r="B39" t="str">
            <v>INDRA BEKTI</v>
          </cell>
          <cell r="C39" t="str">
            <v>P-04</v>
          </cell>
          <cell r="D39">
            <v>45303</v>
          </cell>
          <cell r="E39">
            <v>3</v>
          </cell>
          <cell r="F39" t="str">
            <v>Ya</v>
          </cell>
        </row>
        <row r="40">
          <cell r="A40" t="str">
            <v>TRX-039</v>
          </cell>
          <cell r="B40" t="str">
            <v>joko widodo</v>
          </cell>
          <cell r="C40" t="str">
            <v>P-05</v>
          </cell>
          <cell r="D40">
            <v>45340</v>
          </cell>
          <cell r="E40">
            <v>2</v>
          </cell>
          <cell r="F40" t="str">
            <v>Tidak</v>
          </cell>
        </row>
        <row r="41">
          <cell r="A41" t="str">
            <v>TRX-040</v>
          </cell>
          <cell r="B41" t="str">
            <v>Kiki Amalia</v>
          </cell>
          <cell r="C41" t="str">
            <v>P-01</v>
          </cell>
          <cell r="D41">
            <v>45359</v>
          </cell>
          <cell r="E41">
            <v>1</v>
          </cell>
          <cell r="F41" t="str">
            <v>Ya</v>
          </cell>
        </row>
        <row r="42">
          <cell r="A42" t="str">
            <v>TRX-041</v>
          </cell>
          <cell r="B42" t="str">
            <v>LINA MARLINA</v>
          </cell>
          <cell r="C42" t="str">
            <v>P-02</v>
          </cell>
          <cell r="D42">
            <v>45402</v>
          </cell>
          <cell r="E42">
            <v>4</v>
          </cell>
          <cell r="F42" t="str">
            <v>Tidak</v>
          </cell>
        </row>
        <row r="43">
          <cell r="A43" t="str">
            <v>TRX-042</v>
          </cell>
          <cell r="B43" t="str">
            <v>maman abdurrahman</v>
          </cell>
          <cell r="C43" t="str">
            <v>P-03</v>
          </cell>
          <cell r="D43">
            <v>45437</v>
          </cell>
          <cell r="E43">
            <v>1</v>
          </cell>
          <cell r="F43" t="str">
            <v>Ya</v>
          </cell>
        </row>
        <row r="44">
          <cell r="A44" t="str">
            <v>TRX-043</v>
          </cell>
          <cell r="B44" t="str">
            <v>Nanda Saputra</v>
          </cell>
          <cell r="C44" t="str">
            <v>P-04</v>
          </cell>
          <cell r="D44">
            <v>45453</v>
          </cell>
          <cell r="E44">
            <v>2</v>
          </cell>
          <cell r="F44" t="str">
            <v>Tidak</v>
          </cell>
        </row>
        <row r="45">
          <cell r="A45" t="str">
            <v>TRX-044</v>
          </cell>
          <cell r="B45" t="str">
            <v>Oki Setiana</v>
          </cell>
          <cell r="C45" t="str">
            <v>P-05</v>
          </cell>
          <cell r="D45">
            <v>45495</v>
          </cell>
          <cell r="E45">
            <v>3</v>
          </cell>
          <cell r="F45" t="str">
            <v>Ya</v>
          </cell>
        </row>
        <row r="46">
          <cell r="A46" t="str">
            <v>TRX-045</v>
          </cell>
          <cell r="B46" t="str">
            <v>PUTRI TITIAN</v>
          </cell>
          <cell r="C46" t="str">
            <v>P-01</v>
          </cell>
          <cell r="D46">
            <v>45537</v>
          </cell>
          <cell r="E46">
            <v>1</v>
          </cell>
          <cell r="F46" t="str">
            <v>Tidak</v>
          </cell>
        </row>
        <row r="47">
          <cell r="A47" t="str">
            <v>TRX-046</v>
          </cell>
          <cell r="B47" t="str">
            <v>qory sandioriva</v>
          </cell>
          <cell r="C47" t="str">
            <v>P-02</v>
          </cell>
          <cell r="D47">
            <v>45550</v>
          </cell>
          <cell r="E47">
            <v>5</v>
          </cell>
          <cell r="F47" t="str">
            <v>Ya</v>
          </cell>
        </row>
        <row r="48">
          <cell r="A48" t="str">
            <v>TRX-047</v>
          </cell>
          <cell r="B48" t="str">
            <v>reza rahardian</v>
          </cell>
          <cell r="C48" t="str">
            <v>P-03</v>
          </cell>
          <cell r="D48">
            <v>45593</v>
          </cell>
          <cell r="E48">
            <v>2</v>
          </cell>
          <cell r="F48" t="str">
            <v>Tidak</v>
          </cell>
        </row>
        <row r="49">
          <cell r="A49" t="str">
            <v>TRX-048</v>
          </cell>
          <cell r="B49" t="str">
            <v>SISCA SOEWITOMO</v>
          </cell>
          <cell r="C49" t="str">
            <v>P-04</v>
          </cell>
          <cell r="D49">
            <v>45601</v>
          </cell>
          <cell r="E49">
            <v>1</v>
          </cell>
          <cell r="F49" t="str">
            <v>Ya</v>
          </cell>
        </row>
        <row r="50">
          <cell r="A50" t="str">
            <v>TRX-049</v>
          </cell>
          <cell r="B50" t="str">
            <v>Tora Sudiro</v>
          </cell>
          <cell r="C50" t="str">
            <v>P-05</v>
          </cell>
          <cell r="D50">
            <v>45641</v>
          </cell>
          <cell r="E50">
            <v>4</v>
          </cell>
          <cell r="F50" t="str">
            <v>Tidak</v>
          </cell>
        </row>
        <row r="51">
          <cell r="A51" t="str">
            <v>TRX-050</v>
          </cell>
          <cell r="B51" t="str">
            <v>umay shahab</v>
          </cell>
          <cell r="C51" t="str">
            <v>P-01</v>
          </cell>
          <cell r="D51">
            <v>45665</v>
          </cell>
          <cell r="E51">
            <v>2</v>
          </cell>
          <cell r="F51" t="str">
            <v>Ya</v>
          </cell>
        </row>
        <row r="52">
          <cell r="A52" t="str">
            <v>TRX-051</v>
          </cell>
          <cell r="B52" t="str">
            <v>budi santoso</v>
          </cell>
          <cell r="C52" t="str">
            <v>P-03</v>
          </cell>
          <cell r="D52">
            <v>44946</v>
          </cell>
          <cell r="E52">
            <v>1</v>
          </cell>
          <cell r="F52" t="str">
            <v>Ya</v>
          </cell>
        </row>
        <row r="53">
          <cell r="A53" t="str">
            <v>TRX-052</v>
          </cell>
          <cell r="B53" t="str">
            <v>SITI AMINAH</v>
          </cell>
          <cell r="C53" t="str">
            <v>P-04</v>
          </cell>
          <cell r="D53">
            <v>44979</v>
          </cell>
          <cell r="E53">
            <v>2</v>
          </cell>
          <cell r="F53" t="str">
            <v>Tidak</v>
          </cell>
        </row>
        <row r="54">
          <cell r="A54" t="str">
            <v>TRX-053</v>
          </cell>
          <cell r="B54" t="str">
            <v>andi wijaya</v>
          </cell>
          <cell r="C54" t="str">
            <v>P-05</v>
          </cell>
          <cell r="D54">
            <v>45000</v>
          </cell>
          <cell r="E54">
            <v>6</v>
          </cell>
          <cell r="F54" t="str">
            <v>Ya</v>
          </cell>
        </row>
        <row r="55">
          <cell r="A55" t="str">
            <v>TRX-054</v>
          </cell>
          <cell r="B55" t="str">
            <v>dewi lestari</v>
          </cell>
          <cell r="C55" t="str">
            <v>P-01</v>
          </cell>
          <cell r="D55">
            <v>45028</v>
          </cell>
          <cell r="E55">
            <v>1</v>
          </cell>
          <cell r="F55" t="str">
            <v>Tidak</v>
          </cell>
        </row>
        <row r="56">
          <cell r="A56" t="str">
            <v>TRX-055</v>
          </cell>
          <cell r="B56" t="str">
            <v>Eko Prasetyo</v>
          </cell>
          <cell r="C56" t="str">
            <v>P-02</v>
          </cell>
          <cell r="D56">
            <v>45064</v>
          </cell>
          <cell r="E56">
            <v>3</v>
          </cell>
          <cell r="F56" t="str">
            <v>Ya</v>
          </cell>
        </row>
        <row r="57">
          <cell r="A57" t="str">
            <v>TRX-056</v>
          </cell>
          <cell r="B57" t="str">
            <v>Rina mr</v>
          </cell>
          <cell r="C57" t="str">
            <v>P-03</v>
          </cell>
          <cell r="D57">
            <v>45102</v>
          </cell>
          <cell r="E57">
            <v>1</v>
          </cell>
          <cell r="F57" t="str">
            <v>Tidak</v>
          </cell>
        </row>
        <row r="58">
          <cell r="A58" t="str">
            <v>TRX-057</v>
          </cell>
          <cell r="B58" t="str">
            <v>AGUS SUPRIYADI</v>
          </cell>
          <cell r="C58" t="str">
            <v>P-04</v>
          </cell>
          <cell r="D58">
            <v>45135</v>
          </cell>
          <cell r="E58">
            <v>2</v>
          </cell>
          <cell r="F58" t="str">
            <v>Ya</v>
          </cell>
        </row>
        <row r="59">
          <cell r="A59" t="str">
            <v>TRX-058</v>
          </cell>
          <cell r="B59" t="str">
            <v>nina herlina</v>
          </cell>
          <cell r="C59" t="str">
            <v>P-05</v>
          </cell>
          <cell r="D59">
            <v>45152</v>
          </cell>
          <cell r="E59">
            <v>5</v>
          </cell>
          <cell r="F59" t="str">
            <v>Tidak</v>
          </cell>
        </row>
        <row r="60">
          <cell r="A60" t="str">
            <v>TRX-059</v>
          </cell>
          <cell r="B60" t="str">
            <v>Doni Salmanan</v>
          </cell>
          <cell r="C60" t="str">
            <v>P-01</v>
          </cell>
          <cell r="D60">
            <v>45189</v>
          </cell>
          <cell r="E60">
            <v>1</v>
          </cell>
          <cell r="F60" t="str">
            <v>Ya</v>
          </cell>
        </row>
        <row r="61">
          <cell r="A61" t="str">
            <v>TRX-060</v>
          </cell>
          <cell r="B61" t="str">
            <v>Fajar Nugraha</v>
          </cell>
          <cell r="C61" t="str">
            <v>P-02</v>
          </cell>
          <cell r="D61">
            <v>45209</v>
          </cell>
          <cell r="E61">
            <v>4</v>
          </cell>
          <cell r="F61" t="str">
            <v>Tidak</v>
          </cell>
        </row>
        <row r="62">
          <cell r="A62" t="str">
            <v>TRX-061</v>
          </cell>
          <cell r="B62" t="str">
            <v>GINA sonia</v>
          </cell>
          <cell r="C62" t="str">
            <v>P-03</v>
          </cell>
          <cell r="D62">
            <v>45248</v>
          </cell>
          <cell r="E62">
            <v>2</v>
          </cell>
          <cell r="F62" t="str">
            <v>Ya</v>
          </cell>
        </row>
        <row r="63">
          <cell r="A63" t="str">
            <v>TRX-062</v>
          </cell>
          <cell r="B63" t="str">
            <v>Hendra Gunawan</v>
          </cell>
          <cell r="C63" t="str">
            <v>P-04</v>
          </cell>
          <cell r="D63">
            <v>45290</v>
          </cell>
          <cell r="E63">
            <v>1</v>
          </cell>
          <cell r="F63" t="str">
            <v>Tidak</v>
          </cell>
        </row>
        <row r="64">
          <cell r="A64" t="str">
            <v>TRX-063</v>
          </cell>
          <cell r="B64" t="str">
            <v>INDRA BEKTI</v>
          </cell>
          <cell r="C64" t="str">
            <v>P-05</v>
          </cell>
          <cell r="D64">
            <v>45306</v>
          </cell>
          <cell r="E64">
            <v>3</v>
          </cell>
          <cell r="F64" t="str">
            <v>Ya</v>
          </cell>
        </row>
        <row r="65">
          <cell r="A65" t="str">
            <v>TRX-064</v>
          </cell>
          <cell r="B65" t="str">
            <v>joko widodo</v>
          </cell>
          <cell r="C65" t="str">
            <v>P-01</v>
          </cell>
          <cell r="D65">
            <v>45344</v>
          </cell>
          <cell r="E65">
            <v>1</v>
          </cell>
          <cell r="F65" t="str">
            <v>Tidak</v>
          </cell>
        </row>
        <row r="66">
          <cell r="A66" t="str">
            <v>TRX-065</v>
          </cell>
          <cell r="B66" t="str">
            <v>Kiki Amalia</v>
          </cell>
          <cell r="C66" t="str">
            <v>P-02</v>
          </cell>
          <cell r="D66">
            <v>45363</v>
          </cell>
          <cell r="E66">
            <v>5</v>
          </cell>
          <cell r="F66" t="str">
            <v>Ya</v>
          </cell>
        </row>
        <row r="67">
          <cell r="A67" t="str">
            <v>TRX-066</v>
          </cell>
          <cell r="B67" t="str">
            <v>LINA MARLINA</v>
          </cell>
          <cell r="C67" t="str">
            <v>P-03</v>
          </cell>
          <cell r="D67">
            <v>45407</v>
          </cell>
          <cell r="E67">
            <v>1</v>
          </cell>
          <cell r="F67" t="str">
            <v>Tidak</v>
          </cell>
        </row>
        <row r="68">
          <cell r="A68" t="str">
            <v>TRX-067</v>
          </cell>
          <cell r="B68" t="str">
            <v>maman abdurrahman</v>
          </cell>
          <cell r="C68" t="str">
            <v>P-04</v>
          </cell>
          <cell r="D68">
            <v>45440</v>
          </cell>
          <cell r="E68">
            <v>2</v>
          </cell>
          <cell r="F68" t="str">
            <v>Ya</v>
          </cell>
        </row>
        <row r="69">
          <cell r="A69" t="str">
            <v>TRX-068</v>
          </cell>
          <cell r="B69" t="str">
            <v>Nanda Saputra</v>
          </cell>
          <cell r="C69" t="str">
            <v>P-05</v>
          </cell>
          <cell r="D69">
            <v>45458</v>
          </cell>
          <cell r="E69">
            <v>4</v>
          </cell>
          <cell r="F69" t="str">
            <v>Tidak</v>
          </cell>
        </row>
        <row r="70">
          <cell r="A70" t="str">
            <v>TRX-069</v>
          </cell>
          <cell r="B70" t="str">
            <v>Oki Setiana</v>
          </cell>
          <cell r="C70" t="str">
            <v>P-01</v>
          </cell>
          <cell r="D70">
            <v>45498</v>
          </cell>
          <cell r="E70">
            <v>1</v>
          </cell>
          <cell r="F70" t="str">
            <v>Ya</v>
          </cell>
        </row>
        <row r="71">
          <cell r="A71" t="str">
            <v>TRX-070</v>
          </cell>
          <cell r="B71" t="str">
            <v>PUTRI TITIAN</v>
          </cell>
          <cell r="C71" t="str">
            <v>P-02</v>
          </cell>
          <cell r="D71">
            <v>45540</v>
          </cell>
          <cell r="E71">
            <v>3</v>
          </cell>
          <cell r="F71" t="str">
            <v>Tidak</v>
          </cell>
        </row>
        <row r="72">
          <cell r="A72" t="str">
            <v>TRX-071</v>
          </cell>
          <cell r="B72" t="str">
            <v>qory sandioriva</v>
          </cell>
          <cell r="C72" t="str">
            <v>P-03</v>
          </cell>
          <cell r="D72">
            <v>45553</v>
          </cell>
          <cell r="E72">
            <v>2</v>
          </cell>
          <cell r="F72" t="str">
            <v>Ya</v>
          </cell>
        </row>
        <row r="73">
          <cell r="A73" t="str">
            <v>TRX-072</v>
          </cell>
          <cell r="B73" t="str">
            <v>reza rahardian</v>
          </cell>
          <cell r="C73" t="str">
            <v>P-04</v>
          </cell>
          <cell r="D73">
            <v>45595</v>
          </cell>
          <cell r="E73">
            <v>1</v>
          </cell>
          <cell r="F73" t="str">
            <v>Tidak</v>
          </cell>
        </row>
        <row r="74">
          <cell r="A74" t="str">
            <v>TRX-073</v>
          </cell>
          <cell r="B74" t="str">
            <v>SISCA SOEWITOMO</v>
          </cell>
          <cell r="C74" t="str">
            <v>P-05</v>
          </cell>
          <cell r="D74">
            <v>45604</v>
          </cell>
          <cell r="E74">
            <v>5</v>
          </cell>
          <cell r="F74" t="str">
            <v>Ya</v>
          </cell>
        </row>
        <row r="75">
          <cell r="A75" t="str">
            <v>TRX-074</v>
          </cell>
          <cell r="B75" t="str">
            <v>Tora Sudiro</v>
          </cell>
          <cell r="C75" t="str">
            <v>P-01</v>
          </cell>
          <cell r="D75">
            <v>45644</v>
          </cell>
          <cell r="E75">
            <v>1</v>
          </cell>
          <cell r="F75" t="str">
            <v>Tidak</v>
          </cell>
        </row>
        <row r="76">
          <cell r="A76" t="str">
            <v>TRX-075</v>
          </cell>
          <cell r="B76" t="str">
            <v>umay shahab</v>
          </cell>
          <cell r="C76" t="str">
            <v>P-02</v>
          </cell>
          <cell r="D76">
            <v>45669</v>
          </cell>
          <cell r="E76">
            <v>4</v>
          </cell>
          <cell r="F76" t="str">
            <v>Ya</v>
          </cell>
        </row>
        <row r="77">
          <cell r="A77" t="str">
            <v>TRX-076</v>
          </cell>
          <cell r="B77" t="str">
            <v>budi santoso</v>
          </cell>
          <cell r="C77" t="str">
            <v>P-04</v>
          </cell>
          <cell r="D77">
            <v>44951</v>
          </cell>
          <cell r="E77">
            <v>1</v>
          </cell>
          <cell r="F77" t="str">
            <v>Ya</v>
          </cell>
        </row>
        <row r="78">
          <cell r="A78" t="str">
            <v>TRX-077</v>
          </cell>
          <cell r="B78" t="str">
            <v>SITI AMINAH</v>
          </cell>
          <cell r="C78" t="str">
            <v>P-05</v>
          </cell>
          <cell r="D78">
            <v>44982</v>
          </cell>
          <cell r="E78">
            <v>7</v>
          </cell>
          <cell r="F78" t="str">
            <v>Tidak</v>
          </cell>
        </row>
        <row r="79">
          <cell r="A79" t="str">
            <v>TRX-078</v>
          </cell>
          <cell r="B79" t="str">
            <v>andi wijaya</v>
          </cell>
          <cell r="C79" t="str">
            <v>P-01</v>
          </cell>
          <cell r="D79">
            <v>45003</v>
          </cell>
          <cell r="E79">
            <v>1</v>
          </cell>
          <cell r="F79" t="str">
            <v>Ya</v>
          </cell>
        </row>
        <row r="80">
          <cell r="A80" t="str">
            <v>TRX-079</v>
          </cell>
          <cell r="B80" t="str">
            <v>dewi lestari</v>
          </cell>
          <cell r="C80" t="str">
            <v>P-02</v>
          </cell>
          <cell r="D80">
            <v>45031</v>
          </cell>
          <cell r="E80">
            <v>3</v>
          </cell>
          <cell r="F80" t="str">
            <v>Tidak</v>
          </cell>
        </row>
        <row r="81">
          <cell r="A81" t="str">
            <v>TRX-080</v>
          </cell>
          <cell r="B81" t="str">
            <v>Eko Prasetyo</v>
          </cell>
          <cell r="C81" t="str">
            <v>P-03</v>
          </cell>
          <cell r="D81">
            <v>45068</v>
          </cell>
          <cell r="E81">
            <v>2</v>
          </cell>
          <cell r="F81" t="str">
            <v>Ya</v>
          </cell>
        </row>
        <row r="82">
          <cell r="A82" t="str">
            <v>TRX-081</v>
          </cell>
          <cell r="B82" t="str">
            <v>Rina mr</v>
          </cell>
          <cell r="C82" t="str">
            <v>P-04</v>
          </cell>
          <cell r="D82">
            <v>45105</v>
          </cell>
          <cell r="E82">
            <v>1</v>
          </cell>
          <cell r="F82" t="str">
            <v>Tidak</v>
          </cell>
        </row>
        <row r="83">
          <cell r="A83" t="str">
            <v>TRX-082</v>
          </cell>
          <cell r="B83" t="str">
            <v>AGUS SUPRIYADI</v>
          </cell>
          <cell r="C83" t="str">
            <v>P-05</v>
          </cell>
          <cell r="D83">
            <v>45137</v>
          </cell>
          <cell r="E83">
            <v>4</v>
          </cell>
          <cell r="F83" t="str">
            <v>Ya</v>
          </cell>
        </row>
        <row r="84">
          <cell r="A84" t="str">
            <v>TRX-083</v>
          </cell>
          <cell r="B84" t="str">
            <v>nina herlina</v>
          </cell>
          <cell r="C84" t="str">
            <v>P-01</v>
          </cell>
          <cell r="D84">
            <v>45156</v>
          </cell>
          <cell r="E84">
            <v>2</v>
          </cell>
          <cell r="F84" t="str">
            <v>Tidak</v>
          </cell>
        </row>
        <row r="85">
          <cell r="A85" t="str">
            <v>TRX-084</v>
          </cell>
          <cell r="B85" t="str">
            <v>Doni Salmanan</v>
          </cell>
          <cell r="C85" t="str">
            <v>P-02</v>
          </cell>
          <cell r="D85">
            <v>45194</v>
          </cell>
          <cell r="E85">
            <v>5</v>
          </cell>
          <cell r="F85" t="str">
            <v>Ya</v>
          </cell>
        </row>
        <row r="86">
          <cell r="A86" t="str">
            <v>TRX-085</v>
          </cell>
          <cell r="B86" t="str">
            <v>Fajar Nugraha</v>
          </cell>
          <cell r="C86" t="str">
            <v>P-03</v>
          </cell>
          <cell r="D86">
            <v>45214</v>
          </cell>
          <cell r="E86">
            <v>1</v>
          </cell>
          <cell r="F86" t="str">
            <v>Tidak</v>
          </cell>
        </row>
        <row r="87">
          <cell r="A87" t="str">
            <v>TRX-086</v>
          </cell>
          <cell r="B87" t="str">
            <v>GINA sonia</v>
          </cell>
          <cell r="C87" t="str">
            <v>P-04</v>
          </cell>
          <cell r="D87">
            <v>45252</v>
          </cell>
          <cell r="E87">
            <v>2</v>
          </cell>
          <cell r="F87" t="str">
            <v>Ya</v>
          </cell>
        </row>
        <row r="88">
          <cell r="A88" t="str">
            <v>TRX-087</v>
          </cell>
          <cell r="B88" t="str">
            <v>Hendra Gunawan</v>
          </cell>
          <cell r="C88" t="str">
            <v>P-05</v>
          </cell>
          <cell r="D88">
            <v>45296</v>
          </cell>
          <cell r="E88">
            <v>3</v>
          </cell>
          <cell r="F88" t="str">
            <v>Tidak</v>
          </cell>
        </row>
        <row r="89">
          <cell r="A89" t="str">
            <v>TRX-088</v>
          </cell>
          <cell r="B89" t="str">
            <v>INDRA BEKTI</v>
          </cell>
          <cell r="C89" t="str">
            <v>P-01</v>
          </cell>
          <cell r="D89">
            <v>45309</v>
          </cell>
          <cell r="E89">
            <v>1</v>
          </cell>
          <cell r="F89" t="str">
            <v>Ya</v>
          </cell>
        </row>
        <row r="90">
          <cell r="A90" t="str">
            <v>TRX-089</v>
          </cell>
          <cell r="B90" t="str">
            <v>joko widodo</v>
          </cell>
          <cell r="C90" t="str">
            <v>P-02</v>
          </cell>
          <cell r="D90">
            <v>45347</v>
          </cell>
          <cell r="E90">
            <v>4</v>
          </cell>
          <cell r="F90" t="str">
            <v>Tidak</v>
          </cell>
        </row>
        <row r="91">
          <cell r="A91" t="str">
            <v>TRX-090</v>
          </cell>
          <cell r="B91" t="str">
            <v>Kiki Amalia</v>
          </cell>
          <cell r="C91" t="str">
            <v>P-03</v>
          </cell>
          <cell r="D91">
            <v>45366</v>
          </cell>
          <cell r="E91">
            <v>2</v>
          </cell>
          <cell r="F91" t="str">
            <v>Ya</v>
          </cell>
        </row>
        <row r="92">
          <cell r="A92" t="str">
            <v>TRX-091</v>
          </cell>
          <cell r="B92" t="str">
            <v>LINA MARLINA</v>
          </cell>
          <cell r="C92" t="str">
            <v>P-04</v>
          </cell>
          <cell r="D92">
            <v>45410</v>
          </cell>
          <cell r="E92">
            <v>1</v>
          </cell>
          <cell r="F92" t="str">
            <v>Tidak</v>
          </cell>
        </row>
        <row r="93">
          <cell r="A93" t="str">
            <v>TRX-092</v>
          </cell>
          <cell r="B93" t="str">
            <v>maman abdurrahman</v>
          </cell>
          <cell r="C93" t="str">
            <v>P-05</v>
          </cell>
          <cell r="D93">
            <v>45442</v>
          </cell>
          <cell r="E93">
            <v>6</v>
          </cell>
          <cell r="F93" t="str">
            <v>Ya</v>
          </cell>
        </row>
        <row r="94">
          <cell r="A94" t="str">
            <v>TRX-093</v>
          </cell>
          <cell r="B94" t="str">
            <v>Nanda Saputra</v>
          </cell>
          <cell r="C94" t="str">
            <v>P-01</v>
          </cell>
          <cell r="D94">
            <v>45463</v>
          </cell>
          <cell r="E94">
            <v>1</v>
          </cell>
          <cell r="F94" t="str">
            <v>Tidak</v>
          </cell>
        </row>
        <row r="95">
          <cell r="A95" t="str">
            <v>TRX-094</v>
          </cell>
          <cell r="B95" t="str">
            <v>Oki Setiana</v>
          </cell>
          <cell r="C95" t="str">
            <v>P-02</v>
          </cell>
          <cell r="D95">
            <v>45501</v>
          </cell>
          <cell r="E95">
            <v>3</v>
          </cell>
          <cell r="F95" t="str">
            <v>Ya</v>
          </cell>
        </row>
        <row r="96">
          <cell r="A96" t="str">
            <v>TRX-095</v>
          </cell>
          <cell r="B96" t="str">
            <v>PUTRI TITIAN</v>
          </cell>
          <cell r="C96" t="str">
            <v>P-03</v>
          </cell>
          <cell r="D96">
            <v>45545</v>
          </cell>
          <cell r="E96">
            <v>2</v>
          </cell>
          <cell r="F96" t="str">
            <v>Tidak</v>
          </cell>
        </row>
        <row r="97">
          <cell r="A97" t="str">
            <v>TRX-096</v>
          </cell>
          <cell r="B97" t="str">
            <v>qory sandioriva</v>
          </cell>
          <cell r="C97" t="str">
            <v>P-04</v>
          </cell>
          <cell r="D97">
            <v>45557</v>
          </cell>
          <cell r="E97">
            <v>1</v>
          </cell>
          <cell r="F97" t="str">
            <v>Ya</v>
          </cell>
        </row>
        <row r="98">
          <cell r="A98" t="str">
            <v>TRX-097</v>
          </cell>
          <cell r="B98" t="str">
            <v>reza rahardian</v>
          </cell>
          <cell r="C98" t="str">
            <v>P-05</v>
          </cell>
          <cell r="D98">
            <v>45601</v>
          </cell>
          <cell r="E98">
            <v>5</v>
          </cell>
          <cell r="F98" t="str">
            <v>Tidak</v>
          </cell>
        </row>
        <row r="99">
          <cell r="A99" t="str">
            <v>TRX-098</v>
          </cell>
          <cell r="B99" t="str">
            <v>SISCA SOEWITOMO</v>
          </cell>
          <cell r="C99" t="str">
            <v>P-01</v>
          </cell>
          <cell r="D99">
            <v>45608</v>
          </cell>
          <cell r="E99">
            <v>1</v>
          </cell>
          <cell r="F99" t="str">
            <v>Ya</v>
          </cell>
        </row>
        <row r="100">
          <cell r="A100" t="str">
            <v>TRX-099</v>
          </cell>
          <cell r="B100" t="str">
            <v>Tora Sudiro</v>
          </cell>
          <cell r="C100" t="str">
            <v>P-02</v>
          </cell>
          <cell r="D100">
            <v>45648</v>
          </cell>
          <cell r="E100">
            <v>4</v>
          </cell>
          <cell r="F100" t="str">
            <v>Tidak</v>
          </cell>
        </row>
        <row r="101">
          <cell r="A101" t="str">
            <v>TRX-100</v>
          </cell>
          <cell r="B101" t="str">
            <v>umay shahab</v>
          </cell>
          <cell r="C101" t="str">
            <v>P-03</v>
          </cell>
          <cell r="D101">
            <v>45672</v>
          </cell>
          <cell r="E101">
            <v>2</v>
          </cell>
          <cell r="F101" t="str">
            <v>Ya</v>
          </cell>
        </row>
      </sheetData>
      <sheetData sheetId="1">
        <row r="1">
          <cell r="A1" t="str">
            <v>Kode Produk</v>
          </cell>
          <cell r="B1" t="str">
            <v>Nama Produk</v>
          </cell>
          <cell r="C1" t="str">
            <v>Harga Satuan</v>
          </cell>
          <cell r="D1" t="str">
            <v>Kategori</v>
          </cell>
        </row>
        <row r="2">
          <cell r="A2" t="str">
            <v>P-01</v>
          </cell>
          <cell r="B2" t="str">
            <v>Laptop Pro 14</v>
          </cell>
          <cell r="C2">
            <v>12500000</v>
          </cell>
          <cell r="D2" t="str">
            <v>Komputer</v>
          </cell>
        </row>
        <row r="3">
          <cell r="A3" t="str">
            <v>P-02</v>
          </cell>
          <cell r="B3" t="str">
            <v>Mouse Wireless</v>
          </cell>
          <cell r="C3">
            <v>150000</v>
          </cell>
          <cell r="D3" t="str">
            <v>Aksesoris</v>
          </cell>
        </row>
        <row r="4">
          <cell r="A4" t="str">
            <v>P-03</v>
          </cell>
          <cell r="B4" t="str">
            <v>Keyboard Mechanical</v>
          </cell>
          <cell r="C4">
            <v>450000</v>
          </cell>
          <cell r="D4" t="str">
            <v>Aksesoris</v>
          </cell>
        </row>
        <row r="5">
          <cell r="A5" t="str">
            <v>P-04</v>
          </cell>
          <cell r="B5" t="str">
            <v>Monitor 27 Inch</v>
          </cell>
          <cell r="C5">
            <v>2100000</v>
          </cell>
          <cell r="D5" t="str">
            <v>Komputer</v>
          </cell>
        </row>
        <row r="6">
          <cell r="A6" t="str">
            <v>P-05</v>
          </cell>
          <cell r="B6" t="str">
            <v>Flashdisk 64GB</v>
          </cell>
          <cell r="C6">
            <v>95000</v>
          </cell>
          <cell r="D6" t="str">
            <v>Aksesoris</v>
          </cell>
        </row>
      </sheetData>
      <sheetData sheetId="2"/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dy" refreshedDate="46270.123470023151" createdVersion="8" refreshedVersion="8" minRefreshableVersion="3" recordCount="100" xr:uid="{722AB1A6-6D27-4AEA-848E-5EF7EE2C102B}">
  <cacheSource type="worksheet">
    <worksheetSource name="Table1"/>
  </cacheSource>
  <cacheFields count="15">
    <cacheField name="ID" numFmtId="0">
      <sharedItems/>
    </cacheField>
    <cacheField name="Nama Kasir" numFmtId="0">
      <sharedItems count="25">
        <s v="Budi Santoso"/>
        <s v="Siti Aminah"/>
        <s v="Andi Wijaya"/>
        <s v="Dewi Lestari"/>
        <s v="Eko Prasetyo"/>
        <s v="Rina Mr"/>
        <s v="Agus Supriyadi"/>
        <s v="Nina Herlina"/>
        <s v="Doni Salmanan"/>
        <s v="Fajar Nugraha"/>
        <s v="Gina Sonia"/>
        <s v="Hendra Gunawan"/>
        <s v="Indra Bekti"/>
        <s v="Joko Widodo"/>
        <s v="Kiki Amalia"/>
        <s v="Lina Marlina"/>
        <s v="Maman Abdurrahman"/>
        <s v="Nanda Saputra"/>
        <s v="Oki Setiana"/>
        <s v="Putri Titian"/>
        <s v="Qory Sandioriva"/>
        <s v="Reza Rahardian"/>
        <s v="Sisca Soewitomo"/>
        <s v="Tora Sudiro"/>
        <s v="Umay Shahab"/>
      </sharedItems>
    </cacheField>
    <cacheField name="Kode Produk" numFmtId="0">
      <sharedItems/>
    </cacheField>
    <cacheField name="Nama Produk" numFmtId="0">
      <sharedItems count="5">
        <s v="Laptop Pro 14"/>
        <s v="Mouse Wireless"/>
        <s v="Keyboard Mechanical"/>
        <s v="Monitor 27 Inch"/>
        <s v="Flashdisk 64GB"/>
      </sharedItems>
    </cacheField>
    <cacheField name="Harga Satuan" numFmtId="166">
      <sharedItems containsSemiMixedTypes="0" containsString="0" containsNumber="1" containsInteger="1" minValue="95000" maxValue="12500000"/>
    </cacheField>
    <cacheField name="Kategori" numFmtId="0">
      <sharedItems count="2">
        <s v="Komputer"/>
        <s v="Aksesoris"/>
      </sharedItems>
    </cacheField>
    <cacheField name="Tanggal Beli" numFmtId="165">
      <sharedItems containsSemiMixedTypes="0" containsNonDate="0" containsDate="1" containsString="0" minDate="2023-01-12T00:00:00" maxDate="2025-01-16T00:00:00" count="99">
        <d v="2023-01-12T00:00:00"/>
        <d v="2023-01-15T00:00:00"/>
        <d v="2023-01-20T00:00:00"/>
        <d v="2023-01-25T00:00:00"/>
        <d v="2023-02-15T00:00:00"/>
        <d v="2023-02-18T00:00:00"/>
        <d v="2023-02-22T00:00:00"/>
        <d v="2023-02-25T00:00:00"/>
        <d v="2023-03-10T00:00:00"/>
        <d v="2023-03-12T00:00:00"/>
        <d v="2023-03-15T00:00:00"/>
        <d v="2023-03-18T00:00:00"/>
        <d v="2023-04-05T00:00:00"/>
        <d v="2023-04-08T00:00:00"/>
        <d v="2023-04-12T00:00:00"/>
        <d v="2023-04-15T00:00:00"/>
        <d v="2023-05-12T00:00:00"/>
        <d v="2023-05-15T00:00:00"/>
        <d v="2023-05-18T00:00:00"/>
        <d v="2023-05-22T00:00:00"/>
        <d v="2023-06-20T00:00:00"/>
        <d v="2023-06-22T00:00:00"/>
        <d v="2023-06-25T00:00:00"/>
        <d v="2023-06-28T00:00:00"/>
        <d v="2023-07-22T00:00:00"/>
        <d v="2023-07-25T00:00:00"/>
        <d v="2023-07-28T00:00:00"/>
        <d v="2023-07-30T00:00:00"/>
        <d v="2023-08-08T00:00:00"/>
        <d v="2023-08-10T00:00:00"/>
        <d v="2023-08-14T00:00:00"/>
        <d v="2023-08-18T00:00:00"/>
        <d v="2023-09-14T00:00:00"/>
        <d v="2023-09-16T00:00:00"/>
        <d v="2023-09-20T00:00:00"/>
        <d v="2023-09-25T00:00:00"/>
        <d v="2023-10-01T00:00:00"/>
        <d v="2023-10-05T00:00:00"/>
        <d v="2023-10-10T00:00:00"/>
        <d v="2023-10-15T00:00:00"/>
        <d v="2023-11-11T00:00:00"/>
        <d v="2023-11-15T00:00:00"/>
        <d v="2023-11-18T00:00:00"/>
        <d v="2023-11-22T00:00:00"/>
        <d v="2023-12-25T00:00:00"/>
        <d v="2023-12-28T00:00:00"/>
        <d v="2023-12-30T00:00:00"/>
        <d v="2024-01-05T00:00:00"/>
        <d v="2024-01-10T00:00:00"/>
        <d v="2024-01-12T00:00:00"/>
        <d v="2024-01-15T00:00:00"/>
        <d v="2024-01-18T00:00:00"/>
        <d v="2024-02-14T00:00:00"/>
        <d v="2024-02-18T00:00:00"/>
        <d v="2024-02-22T00:00:00"/>
        <d v="2024-02-25T00:00:00"/>
        <d v="2024-03-05T00:00:00"/>
        <d v="2024-03-08T00:00:00"/>
        <d v="2024-03-12T00:00:00"/>
        <d v="2024-03-15T00:00:00"/>
        <d v="2024-04-18T00:00:00"/>
        <d v="2024-04-20T00:00:00"/>
        <d v="2024-04-25T00:00:00"/>
        <d v="2024-04-28T00:00:00"/>
        <d v="2024-05-22T00:00:00"/>
        <d v="2024-05-25T00:00:00"/>
        <d v="2024-05-28T00:00:00"/>
        <d v="2024-05-30T00:00:00"/>
        <d v="2024-06-07T00:00:00"/>
        <d v="2024-06-10T00:00:00"/>
        <d v="2024-06-15T00:00:00"/>
        <d v="2024-06-20T00:00:00"/>
        <d v="2024-07-19T00:00:00"/>
        <d v="2024-07-22T00:00:00"/>
        <d v="2024-07-25T00:00:00"/>
        <d v="2024-07-28T00:00:00"/>
        <d v="2024-08-30T00:00:00"/>
        <d v="2024-09-02T00:00:00"/>
        <d v="2024-09-05T00:00:00"/>
        <d v="2024-09-10T00:00:00"/>
        <d v="2024-09-12T00:00:00"/>
        <d v="2024-09-15T00:00:00"/>
        <d v="2024-09-18T00:00:00"/>
        <d v="2024-09-22T00:00:00"/>
        <d v="2024-10-25T00:00:00"/>
        <d v="2024-10-28T00:00:00"/>
        <d v="2024-10-30T00:00:00"/>
        <d v="2024-11-02T00:00:00"/>
        <d v="2024-11-05T00:00:00"/>
        <d v="2024-11-08T00:00:00"/>
        <d v="2024-11-12T00:00:00"/>
        <d v="2024-12-12T00:00:00"/>
        <d v="2024-12-15T00:00:00"/>
        <d v="2024-12-18T00:00:00"/>
        <d v="2024-12-22T00:00:00"/>
        <d v="2025-01-05T00:00:00"/>
        <d v="2025-01-08T00:00:00"/>
        <d v="2025-01-12T00:00:00"/>
        <d v="2025-01-15T00:00:00"/>
      </sharedItems>
      <fieldGroup par="14"/>
    </cacheField>
    <cacheField name="Quantity" numFmtId="0">
      <sharedItems containsSemiMixedTypes="0" containsString="0" containsNumber="1" containsInteger="1" minValue="1" maxValue="10"/>
    </cacheField>
    <cacheField name="Total Harga" numFmtId="166">
      <sharedItems containsSemiMixedTypes="0" containsString="0" containsNumber="1" containsInteger="1" minValue="150000" maxValue="25000000"/>
    </cacheField>
    <cacheField name="Member" numFmtId="0">
      <sharedItems/>
    </cacheField>
    <cacheField name="Status Diskon" numFmtId="0">
      <sharedItems/>
    </cacheField>
    <cacheField name="Nominal Diskon" numFmtId="167">
      <sharedItems containsSemiMixedTypes="0" containsString="0" containsNumber="1" containsInteger="1" minValue="0" maxValue="2500000"/>
    </cacheField>
    <cacheField name="Total Bayar" numFmtId="164">
      <sharedItems containsSemiMixedTypes="0" containsString="0" containsNumber="1" containsInteger="1" minValue="150000" maxValue="25000000"/>
    </cacheField>
    <cacheField name="Months (Tanggal Beli)" numFmtId="0" databaseField="0">
      <fieldGroup base="6">
        <rangePr groupBy="months" startDate="2023-01-12T00:00:00" endDate="2025-01-16T00:00:00"/>
        <groupItems count="14">
          <s v="&lt;12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6/01/2025"/>
        </groupItems>
      </fieldGroup>
    </cacheField>
    <cacheField name="Years (Tanggal Beli)" numFmtId="0" databaseField="0">
      <fieldGroup base="6">
        <rangePr groupBy="years" startDate="2023-01-12T00:00:00" endDate="2025-01-16T00:00:00"/>
        <groupItems count="5">
          <s v="&lt;12/01/2023"/>
          <s v="2023"/>
          <s v="2024"/>
          <s v="2025"/>
          <s v="&gt;16/01/2025"/>
        </groupItems>
      </fieldGroup>
    </cacheField>
  </cacheFields>
  <extLst>
    <ext xmlns:x14="http://schemas.microsoft.com/office/spreadsheetml/2009/9/main" uri="{725AE2AE-9491-48be-B2B4-4EB974FC3084}">
      <x14:pivotCacheDefinition pivotCacheId="194450199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TRX-001"/>
    <x v="0"/>
    <s v="P-01"/>
    <x v="0"/>
    <n v="12500000"/>
    <x v="0"/>
    <x v="0"/>
    <n v="2"/>
    <n v="25000000"/>
    <s v="Ya"/>
    <s v="10%"/>
    <n v="2500000"/>
    <n v="22500000"/>
  </r>
  <r>
    <s v="TRX-026"/>
    <x v="0"/>
    <s v="P-02"/>
    <x v="1"/>
    <n v="150000"/>
    <x v="1"/>
    <x v="1"/>
    <n v="1"/>
    <n v="150000"/>
    <s v="Ya"/>
    <s v="0%"/>
    <n v="0"/>
    <n v="150000"/>
  </r>
  <r>
    <s v="TRX-051"/>
    <x v="0"/>
    <s v="P-03"/>
    <x v="2"/>
    <n v="450000"/>
    <x v="1"/>
    <x v="2"/>
    <n v="1"/>
    <n v="450000"/>
    <s v="Ya"/>
    <s v="0%"/>
    <n v="0"/>
    <n v="450000"/>
  </r>
  <r>
    <s v="TRX-076"/>
    <x v="0"/>
    <s v="P-04"/>
    <x v="3"/>
    <n v="2100000"/>
    <x v="0"/>
    <x v="3"/>
    <n v="1"/>
    <n v="2100000"/>
    <s v="Ya"/>
    <s v="10%"/>
    <n v="210000"/>
    <n v="1890000"/>
  </r>
  <r>
    <s v="TRX-002"/>
    <x v="1"/>
    <s v="P-02"/>
    <x v="1"/>
    <n v="150000"/>
    <x v="1"/>
    <x v="4"/>
    <n v="1"/>
    <n v="150000"/>
    <s v="Tidak"/>
    <s v="0%"/>
    <n v="0"/>
    <n v="150000"/>
  </r>
  <r>
    <s v="TRX-027"/>
    <x v="1"/>
    <s v="P-03"/>
    <x v="2"/>
    <n v="450000"/>
    <x v="1"/>
    <x v="5"/>
    <n v="2"/>
    <n v="900000"/>
    <s v="Tidak"/>
    <s v="0%"/>
    <n v="0"/>
    <n v="900000"/>
  </r>
  <r>
    <s v="TRX-052"/>
    <x v="1"/>
    <s v="P-04"/>
    <x v="3"/>
    <n v="2100000"/>
    <x v="0"/>
    <x v="6"/>
    <n v="2"/>
    <n v="4200000"/>
    <s v="Tidak"/>
    <s v="0%"/>
    <n v="0"/>
    <n v="4200000"/>
  </r>
  <r>
    <s v="TRX-077"/>
    <x v="1"/>
    <s v="P-05"/>
    <x v="4"/>
    <n v="95000"/>
    <x v="1"/>
    <x v="7"/>
    <n v="7"/>
    <n v="665000"/>
    <s v="Tidak"/>
    <s v="0%"/>
    <n v="0"/>
    <n v="665000"/>
  </r>
  <r>
    <s v="TRX-003"/>
    <x v="2"/>
    <s v="P-03"/>
    <x v="2"/>
    <n v="450000"/>
    <x v="1"/>
    <x v="8"/>
    <n v="3"/>
    <n v="1350000"/>
    <s v="Ya"/>
    <s v="10%"/>
    <n v="135000"/>
    <n v="1215000"/>
  </r>
  <r>
    <s v="TRX-028"/>
    <x v="2"/>
    <s v="P-04"/>
    <x v="3"/>
    <n v="2100000"/>
    <x v="0"/>
    <x v="9"/>
    <n v="1"/>
    <n v="2100000"/>
    <s v="Ya"/>
    <s v="10%"/>
    <n v="210000"/>
    <n v="1890000"/>
  </r>
  <r>
    <s v="TRX-053"/>
    <x v="2"/>
    <s v="P-05"/>
    <x v="4"/>
    <n v="95000"/>
    <x v="1"/>
    <x v="10"/>
    <n v="6"/>
    <n v="570000"/>
    <s v="Ya"/>
    <s v="0%"/>
    <n v="0"/>
    <n v="570000"/>
  </r>
  <r>
    <s v="TRX-078"/>
    <x v="2"/>
    <s v="P-01"/>
    <x v="0"/>
    <n v="12500000"/>
    <x v="0"/>
    <x v="11"/>
    <n v="1"/>
    <n v="12500000"/>
    <s v="Ya"/>
    <s v="10%"/>
    <n v="1250000"/>
    <n v="11250000"/>
  </r>
  <r>
    <s v="TRX-004"/>
    <x v="3"/>
    <s v="P-01"/>
    <x v="0"/>
    <n v="12500000"/>
    <x v="0"/>
    <x v="12"/>
    <n v="1"/>
    <n v="12500000"/>
    <s v="Tidak"/>
    <s v="0%"/>
    <n v="0"/>
    <n v="12500000"/>
  </r>
  <r>
    <s v="TRX-029"/>
    <x v="3"/>
    <s v="P-05"/>
    <x v="4"/>
    <n v="95000"/>
    <x v="1"/>
    <x v="13"/>
    <n v="4"/>
    <n v="380000"/>
    <s v="Tidak"/>
    <s v="0%"/>
    <n v="0"/>
    <n v="380000"/>
  </r>
  <r>
    <s v="TRX-054"/>
    <x v="3"/>
    <s v="P-01"/>
    <x v="0"/>
    <n v="12500000"/>
    <x v="0"/>
    <x v="14"/>
    <n v="1"/>
    <n v="12500000"/>
    <s v="Tidak"/>
    <s v="0%"/>
    <n v="0"/>
    <n v="12500000"/>
  </r>
  <r>
    <s v="TRX-079"/>
    <x v="3"/>
    <s v="P-02"/>
    <x v="1"/>
    <n v="150000"/>
    <x v="1"/>
    <x v="15"/>
    <n v="3"/>
    <n v="450000"/>
    <s v="Tidak"/>
    <s v="0%"/>
    <n v="0"/>
    <n v="450000"/>
  </r>
  <r>
    <s v="TRX-005"/>
    <x v="4"/>
    <s v="P-04"/>
    <x v="3"/>
    <n v="2100000"/>
    <x v="0"/>
    <x v="16"/>
    <n v="2"/>
    <n v="4200000"/>
    <s v="Ya"/>
    <s v="10%"/>
    <n v="420000"/>
    <n v="3780000"/>
  </r>
  <r>
    <s v="TRX-030"/>
    <x v="4"/>
    <s v="P-01"/>
    <x v="0"/>
    <n v="12500000"/>
    <x v="0"/>
    <x v="17"/>
    <n v="2"/>
    <n v="25000000"/>
    <s v="Ya"/>
    <s v="10%"/>
    <n v="2500000"/>
    <n v="22500000"/>
  </r>
  <r>
    <s v="TRX-055"/>
    <x v="4"/>
    <s v="P-02"/>
    <x v="1"/>
    <n v="150000"/>
    <x v="1"/>
    <x v="18"/>
    <n v="3"/>
    <n v="450000"/>
    <s v="Ya"/>
    <s v="0%"/>
    <n v="0"/>
    <n v="450000"/>
  </r>
  <r>
    <s v="TRX-080"/>
    <x v="4"/>
    <s v="P-03"/>
    <x v="2"/>
    <n v="450000"/>
    <x v="1"/>
    <x v="19"/>
    <n v="2"/>
    <n v="900000"/>
    <s v="Ya"/>
    <s v="0%"/>
    <n v="0"/>
    <n v="900000"/>
  </r>
  <r>
    <s v="TRX-006"/>
    <x v="5"/>
    <s v="P-05"/>
    <x v="4"/>
    <n v="95000"/>
    <x v="1"/>
    <x v="20"/>
    <n v="5"/>
    <n v="475000"/>
    <s v="Tidak"/>
    <s v="0%"/>
    <n v="0"/>
    <n v="475000"/>
  </r>
  <r>
    <s v="TRX-031"/>
    <x v="5"/>
    <s v="P-02"/>
    <x v="1"/>
    <n v="150000"/>
    <x v="1"/>
    <x v="21"/>
    <n v="3"/>
    <n v="450000"/>
    <s v="Tidak"/>
    <s v="0%"/>
    <n v="0"/>
    <n v="450000"/>
  </r>
  <r>
    <s v="TRX-056"/>
    <x v="5"/>
    <s v="P-03"/>
    <x v="2"/>
    <n v="450000"/>
    <x v="1"/>
    <x v="22"/>
    <n v="1"/>
    <n v="450000"/>
    <s v="Tidak"/>
    <s v="0%"/>
    <n v="0"/>
    <n v="450000"/>
  </r>
  <r>
    <s v="TRX-081"/>
    <x v="5"/>
    <s v="P-04"/>
    <x v="3"/>
    <n v="2100000"/>
    <x v="0"/>
    <x v="23"/>
    <n v="1"/>
    <n v="2100000"/>
    <s v="Tidak"/>
    <s v="0%"/>
    <n v="0"/>
    <n v="2100000"/>
  </r>
  <r>
    <s v="TRX-007"/>
    <x v="6"/>
    <s v="P-02"/>
    <x v="1"/>
    <n v="150000"/>
    <x v="1"/>
    <x v="24"/>
    <n v="10"/>
    <n v="1500000"/>
    <s v="Ya"/>
    <s v="10%"/>
    <n v="150000"/>
    <n v="1350000"/>
  </r>
  <r>
    <s v="TRX-032"/>
    <x v="6"/>
    <s v="P-03"/>
    <x v="2"/>
    <n v="450000"/>
    <x v="1"/>
    <x v="25"/>
    <n v="1"/>
    <n v="450000"/>
    <s v="Ya"/>
    <s v="0%"/>
    <n v="0"/>
    <n v="450000"/>
  </r>
  <r>
    <s v="TRX-057"/>
    <x v="6"/>
    <s v="P-04"/>
    <x v="3"/>
    <n v="2100000"/>
    <x v="0"/>
    <x v="26"/>
    <n v="2"/>
    <n v="4200000"/>
    <s v="Ya"/>
    <s v="10%"/>
    <n v="420000"/>
    <n v="3780000"/>
  </r>
  <r>
    <s v="TRX-082"/>
    <x v="6"/>
    <s v="P-05"/>
    <x v="4"/>
    <n v="95000"/>
    <x v="1"/>
    <x v="27"/>
    <n v="4"/>
    <n v="380000"/>
    <s v="Ya"/>
    <s v="0%"/>
    <n v="0"/>
    <n v="380000"/>
  </r>
  <r>
    <s v="TRX-008"/>
    <x v="7"/>
    <s v="P-03"/>
    <x v="2"/>
    <n v="450000"/>
    <x v="1"/>
    <x v="28"/>
    <n v="2"/>
    <n v="900000"/>
    <s v="Tidak"/>
    <s v="0%"/>
    <n v="0"/>
    <n v="900000"/>
  </r>
  <r>
    <s v="TRX-033"/>
    <x v="7"/>
    <s v="P-04"/>
    <x v="3"/>
    <n v="2100000"/>
    <x v="0"/>
    <x v="29"/>
    <n v="2"/>
    <n v="4200000"/>
    <s v="Tidak"/>
    <s v="0%"/>
    <n v="0"/>
    <n v="4200000"/>
  </r>
  <r>
    <s v="TRX-058"/>
    <x v="7"/>
    <s v="P-05"/>
    <x v="4"/>
    <n v="95000"/>
    <x v="1"/>
    <x v="30"/>
    <n v="5"/>
    <n v="475000"/>
    <s v="Tidak"/>
    <s v="0%"/>
    <n v="0"/>
    <n v="475000"/>
  </r>
  <r>
    <s v="TRX-083"/>
    <x v="7"/>
    <s v="P-01"/>
    <x v="0"/>
    <n v="12500000"/>
    <x v="0"/>
    <x v="31"/>
    <n v="2"/>
    <n v="25000000"/>
    <s v="Tidak"/>
    <s v="0%"/>
    <n v="0"/>
    <n v="25000000"/>
  </r>
  <r>
    <s v="TRX-009"/>
    <x v="8"/>
    <s v="P-04"/>
    <x v="3"/>
    <n v="2100000"/>
    <x v="0"/>
    <x v="32"/>
    <n v="1"/>
    <n v="2100000"/>
    <s v="Ya"/>
    <s v="10%"/>
    <n v="210000"/>
    <n v="1890000"/>
  </r>
  <r>
    <s v="TRX-034"/>
    <x v="8"/>
    <s v="P-05"/>
    <x v="4"/>
    <n v="95000"/>
    <x v="1"/>
    <x v="33"/>
    <n v="5"/>
    <n v="475000"/>
    <s v="Ya"/>
    <s v="0%"/>
    <n v="0"/>
    <n v="475000"/>
  </r>
  <r>
    <s v="TRX-059"/>
    <x v="8"/>
    <s v="P-01"/>
    <x v="0"/>
    <n v="12500000"/>
    <x v="0"/>
    <x v="34"/>
    <n v="1"/>
    <n v="12500000"/>
    <s v="Ya"/>
    <s v="10%"/>
    <n v="1250000"/>
    <n v="11250000"/>
  </r>
  <r>
    <s v="TRX-084"/>
    <x v="8"/>
    <s v="P-02"/>
    <x v="1"/>
    <n v="150000"/>
    <x v="1"/>
    <x v="35"/>
    <n v="5"/>
    <n v="750000"/>
    <s v="Ya"/>
    <s v="0%"/>
    <n v="0"/>
    <n v="750000"/>
  </r>
  <r>
    <s v="TRX-010"/>
    <x v="9"/>
    <s v="P-05"/>
    <x v="4"/>
    <n v="95000"/>
    <x v="1"/>
    <x v="36"/>
    <n v="3"/>
    <n v="285000"/>
    <s v="Tidak"/>
    <s v="0%"/>
    <n v="0"/>
    <n v="285000"/>
  </r>
  <r>
    <s v="TRX-035"/>
    <x v="9"/>
    <s v="P-01"/>
    <x v="0"/>
    <n v="12500000"/>
    <x v="0"/>
    <x v="37"/>
    <n v="1"/>
    <n v="12500000"/>
    <s v="Tidak"/>
    <s v="0%"/>
    <n v="0"/>
    <n v="12500000"/>
  </r>
  <r>
    <s v="TRX-060"/>
    <x v="9"/>
    <s v="P-02"/>
    <x v="1"/>
    <n v="150000"/>
    <x v="1"/>
    <x v="38"/>
    <n v="4"/>
    <n v="600000"/>
    <s v="Tidak"/>
    <s v="0%"/>
    <n v="0"/>
    <n v="600000"/>
  </r>
  <r>
    <s v="TRX-085"/>
    <x v="9"/>
    <s v="P-03"/>
    <x v="2"/>
    <n v="450000"/>
    <x v="1"/>
    <x v="39"/>
    <n v="1"/>
    <n v="450000"/>
    <s v="Tidak"/>
    <s v="0%"/>
    <n v="0"/>
    <n v="450000"/>
  </r>
  <r>
    <s v="TRX-011"/>
    <x v="10"/>
    <s v="P-01"/>
    <x v="0"/>
    <n v="12500000"/>
    <x v="0"/>
    <x v="40"/>
    <n v="1"/>
    <n v="12500000"/>
    <s v="Ya"/>
    <s v="10%"/>
    <n v="1250000"/>
    <n v="11250000"/>
  </r>
  <r>
    <s v="TRX-036"/>
    <x v="10"/>
    <s v="P-02"/>
    <x v="1"/>
    <n v="150000"/>
    <x v="1"/>
    <x v="41"/>
    <n v="2"/>
    <n v="300000"/>
    <s v="Ya"/>
    <s v="0%"/>
    <n v="0"/>
    <n v="300000"/>
  </r>
  <r>
    <s v="TRX-061"/>
    <x v="10"/>
    <s v="P-03"/>
    <x v="2"/>
    <n v="450000"/>
    <x v="1"/>
    <x v="42"/>
    <n v="2"/>
    <n v="900000"/>
    <s v="Ya"/>
    <s v="0%"/>
    <n v="0"/>
    <n v="900000"/>
  </r>
  <r>
    <s v="TRX-086"/>
    <x v="10"/>
    <s v="P-04"/>
    <x v="3"/>
    <n v="2100000"/>
    <x v="0"/>
    <x v="43"/>
    <n v="2"/>
    <n v="4200000"/>
    <s v="Ya"/>
    <s v="10%"/>
    <n v="420000"/>
    <n v="3780000"/>
  </r>
  <r>
    <s v="TRX-012"/>
    <x v="11"/>
    <s v="P-02"/>
    <x v="1"/>
    <n v="150000"/>
    <x v="1"/>
    <x v="44"/>
    <n v="4"/>
    <n v="600000"/>
    <s v="Tidak"/>
    <s v="0%"/>
    <n v="0"/>
    <n v="600000"/>
  </r>
  <r>
    <s v="TRX-037"/>
    <x v="11"/>
    <s v="P-03"/>
    <x v="2"/>
    <n v="450000"/>
    <x v="1"/>
    <x v="45"/>
    <n v="1"/>
    <n v="450000"/>
    <s v="Tidak"/>
    <s v="0%"/>
    <n v="0"/>
    <n v="450000"/>
  </r>
  <r>
    <s v="TRX-062"/>
    <x v="11"/>
    <s v="P-04"/>
    <x v="3"/>
    <n v="2100000"/>
    <x v="0"/>
    <x v="46"/>
    <n v="1"/>
    <n v="2100000"/>
    <s v="Tidak"/>
    <s v="0%"/>
    <n v="0"/>
    <n v="2100000"/>
  </r>
  <r>
    <s v="TRX-087"/>
    <x v="11"/>
    <s v="P-05"/>
    <x v="4"/>
    <n v="95000"/>
    <x v="1"/>
    <x v="47"/>
    <n v="3"/>
    <n v="285000"/>
    <s v="Tidak"/>
    <s v="0%"/>
    <n v="0"/>
    <n v="285000"/>
  </r>
  <r>
    <s v="TRX-013"/>
    <x v="12"/>
    <s v="P-03"/>
    <x v="2"/>
    <n v="450000"/>
    <x v="1"/>
    <x v="48"/>
    <n v="2"/>
    <n v="900000"/>
    <s v="Ya"/>
    <s v="0%"/>
    <n v="0"/>
    <n v="900000"/>
  </r>
  <r>
    <s v="TRX-038"/>
    <x v="12"/>
    <s v="P-04"/>
    <x v="3"/>
    <n v="2100000"/>
    <x v="0"/>
    <x v="49"/>
    <n v="3"/>
    <n v="6300000"/>
    <s v="Ya"/>
    <s v="10%"/>
    <n v="630000"/>
    <n v="5670000"/>
  </r>
  <r>
    <s v="TRX-063"/>
    <x v="12"/>
    <s v="P-05"/>
    <x v="4"/>
    <n v="95000"/>
    <x v="1"/>
    <x v="50"/>
    <n v="3"/>
    <n v="285000"/>
    <s v="Ya"/>
    <s v="0%"/>
    <n v="0"/>
    <n v="285000"/>
  </r>
  <r>
    <s v="TRX-088"/>
    <x v="12"/>
    <s v="P-01"/>
    <x v="0"/>
    <n v="12500000"/>
    <x v="0"/>
    <x v="51"/>
    <n v="1"/>
    <n v="12500000"/>
    <s v="Ya"/>
    <s v="10%"/>
    <n v="1250000"/>
    <n v="11250000"/>
  </r>
  <r>
    <s v="TRX-014"/>
    <x v="13"/>
    <s v="P-04"/>
    <x v="3"/>
    <n v="2100000"/>
    <x v="0"/>
    <x v="52"/>
    <n v="1"/>
    <n v="2100000"/>
    <s v="Tidak"/>
    <s v="0%"/>
    <n v="0"/>
    <n v="2100000"/>
  </r>
  <r>
    <s v="TRX-039"/>
    <x v="13"/>
    <s v="P-05"/>
    <x v="4"/>
    <n v="95000"/>
    <x v="1"/>
    <x v="53"/>
    <n v="2"/>
    <n v="190000"/>
    <s v="Tidak"/>
    <s v="0%"/>
    <n v="0"/>
    <n v="190000"/>
  </r>
  <r>
    <s v="TRX-064"/>
    <x v="13"/>
    <s v="P-01"/>
    <x v="0"/>
    <n v="12500000"/>
    <x v="0"/>
    <x v="54"/>
    <n v="1"/>
    <n v="12500000"/>
    <s v="Tidak"/>
    <s v="0%"/>
    <n v="0"/>
    <n v="12500000"/>
  </r>
  <r>
    <s v="TRX-089"/>
    <x v="13"/>
    <s v="P-02"/>
    <x v="1"/>
    <n v="150000"/>
    <x v="1"/>
    <x v="55"/>
    <n v="4"/>
    <n v="600000"/>
    <s v="Tidak"/>
    <s v="0%"/>
    <n v="0"/>
    <n v="600000"/>
  </r>
  <r>
    <s v="TRX-015"/>
    <x v="14"/>
    <s v="P-05"/>
    <x v="4"/>
    <n v="95000"/>
    <x v="1"/>
    <x v="56"/>
    <n v="8"/>
    <n v="760000"/>
    <s v="Ya"/>
    <s v="0%"/>
    <n v="0"/>
    <n v="760000"/>
  </r>
  <r>
    <s v="TRX-040"/>
    <x v="14"/>
    <s v="P-01"/>
    <x v="0"/>
    <n v="12500000"/>
    <x v="0"/>
    <x v="57"/>
    <n v="1"/>
    <n v="12500000"/>
    <s v="Ya"/>
    <s v="10%"/>
    <n v="1250000"/>
    <n v="11250000"/>
  </r>
  <r>
    <s v="TRX-065"/>
    <x v="14"/>
    <s v="P-02"/>
    <x v="1"/>
    <n v="150000"/>
    <x v="1"/>
    <x v="58"/>
    <n v="5"/>
    <n v="750000"/>
    <s v="Ya"/>
    <s v="0%"/>
    <n v="0"/>
    <n v="750000"/>
  </r>
  <r>
    <s v="TRX-090"/>
    <x v="14"/>
    <s v="P-03"/>
    <x v="2"/>
    <n v="450000"/>
    <x v="1"/>
    <x v="59"/>
    <n v="2"/>
    <n v="900000"/>
    <s v="Ya"/>
    <s v="0%"/>
    <n v="0"/>
    <n v="900000"/>
  </r>
  <r>
    <s v="TRX-016"/>
    <x v="15"/>
    <s v="P-01"/>
    <x v="0"/>
    <n v="12500000"/>
    <x v="0"/>
    <x v="60"/>
    <n v="1"/>
    <n v="12500000"/>
    <s v="Tidak"/>
    <s v="0%"/>
    <n v="0"/>
    <n v="12500000"/>
  </r>
  <r>
    <s v="TRX-041"/>
    <x v="15"/>
    <s v="P-02"/>
    <x v="1"/>
    <n v="150000"/>
    <x v="1"/>
    <x v="61"/>
    <n v="4"/>
    <n v="600000"/>
    <s v="Tidak"/>
    <s v="0%"/>
    <n v="0"/>
    <n v="600000"/>
  </r>
  <r>
    <s v="TRX-066"/>
    <x v="15"/>
    <s v="P-03"/>
    <x v="2"/>
    <n v="450000"/>
    <x v="1"/>
    <x v="62"/>
    <n v="1"/>
    <n v="450000"/>
    <s v="Tidak"/>
    <s v="0%"/>
    <n v="0"/>
    <n v="450000"/>
  </r>
  <r>
    <s v="TRX-091"/>
    <x v="15"/>
    <s v="P-04"/>
    <x v="3"/>
    <n v="2100000"/>
    <x v="0"/>
    <x v="63"/>
    <n v="1"/>
    <n v="2100000"/>
    <s v="Tidak"/>
    <s v="0%"/>
    <n v="0"/>
    <n v="2100000"/>
  </r>
  <r>
    <s v="TRX-017"/>
    <x v="16"/>
    <s v="P-02"/>
    <x v="1"/>
    <n v="150000"/>
    <x v="1"/>
    <x v="64"/>
    <n v="2"/>
    <n v="300000"/>
    <s v="Ya"/>
    <s v="0%"/>
    <n v="0"/>
    <n v="300000"/>
  </r>
  <r>
    <s v="TRX-042"/>
    <x v="16"/>
    <s v="P-03"/>
    <x v="2"/>
    <n v="450000"/>
    <x v="1"/>
    <x v="65"/>
    <n v="1"/>
    <n v="450000"/>
    <s v="Ya"/>
    <s v="0%"/>
    <n v="0"/>
    <n v="450000"/>
  </r>
  <r>
    <s v="TRX-067"/>
    <x v="16"/>
    <s v="P-04"/>
    <x v="3"/>
    <n v="2100000"/>
    <x v="0"/>
    <x v="66"/>
    <n v="2"/>
    <n v="4200000"/>
    <s v="Ya"/>
    <s v="10%"/>
    <n v="420000"/>
    <n v="3780000"/>
  </r>
  <r>
    <s v="TRX-092"/>
    <x v="16"/>
    <s v="P-05"/>
    <x v="4"/>
    <n v="95000"/>
    <x v="1"/>
    <x v="67"/>
    <n v="6"/>
    <n v="570000"/>
    <s v="Ya"/>
    <s v="0%"/>
    <n v="0"/>
    <n v="570000"/>
  </r>
  <r>
    <s v="TRX-018"/>
    <x v="17"/>
    <s v="P-03"/>
    <x v="2"/>
    <n v="450000"/>
    <x v="1"/>
    <x v="68"/>
    <n v="1"/>
    <n v="450000"/>
    <s v="Tidak"/>
    <s v="0%"/>
    <n v="0"/>
    <n v="450000"/>
  </r>
  <r>
    <s v="TRX-043"/>
    <x v="17"/>
    <s v="P-04"/>
    <x v="3"/>
    <n v="2100000"/>
    <x v="0"/>
    <x v="69"/>
    <n v="2"/>
    <n v="4200000"/>
    <s v="Tidak"/>
    <s v="0%"/>
    <n v="0"/>
    <n v="4200000"/>
  </r>
  <r>
    <s v="TRX-068"/>
    <x v="17"/>
    <s v="P-05"/>
    <x v="4"/>
    <n v="95000"/>
    <x v="1"/>
    <x v="70"/>
    <n v="4"/>
    <n v="380000"/>
    <s v="Tidak"/>
    <s v="0%"/>
    <n v="0"/>
    <n v="380000"/>
  </r>
  <r>
    <s v="TRX-093"/>
    <x v="17"/>
    <s v="P-01"/>
    <x v="0"/>
    <n v="12500000"/>
    <x v="0"/>
    <x v="71"/>
    <n v="1"/>
    <n v="12500000"/>
    <s v="Tidak"/>
    <s v="0%"/>
    <n v="0"/>
    <n v="12500000"/>
  </r>
  <r>
    <s v="TRX-019"/>
    <x v="18"/>
    <s v="P-04"/>
    <x v="3"/>
    <n v="2100000"/>
    <x v="0"/>
    <x v="72"/>
    <n v="4"/>
    <n v="8400000"/>
    <s v="Ya"/>
    <s v="10%"/>
    <n v="840000"/>
    <n v="7560000"/>
  </r>
  <r>
    <s v="TRX-044"/>
    <x v="18"/>
    <s v="P-05"/>
    <x v="4"/>
    <n v="95000"/>
    <x v="1"/>
    <x v="73"/>
    <n v="3"/>
    <n v="285000"/>
    <s v="Ya"/>
    <s v="0%"/>
    <n v="0"/>
    <n v="285000"/>
  </r>
  <r>
    <s v="TRX-069"/>
    <x v="18"/>
    <s v="P-01"/>
    <x v="0"/>
    <n v="12500000"/>
    <x v="0"/>
    <x v="74"/>
    <n v="1"/>
    <n v="12500000"/>
    <s v="Ya"/>
    <s v="10%"/>
    <n v="1250000"/>
    <n v="11250000"/>
  </r>
  <r>
    <s v="TRX-094"/>
    <x v="18"/>
    <s v="P-02"/>
    <x v="1"/>
    <n v="150000"/>
    <x v="1"/>
    <x v="75"/>
    <n v="3"/>
    <n v="450000"/>
    <s v="Ya"/>
    <s v="0%"/>
    <n v="0"/>
    <n v="450000"/>
  </r>
  <r>
    <s v="TRX-020"/>
    <x v="19"/>
    <s v="P-05"/>
    <x v="4"/>
    <n v="95000"/>
    <x v="1"/>
    <x v="76"/>
    <n v="2"/>
    <n v="190000"/>
    <s v="Tidak"/>
    <s v="0%"/>
    <n v="0"/>
    <n v="190000"/>
  </r>
  <r>
    <s v="TRX-045"/>
    <x v="19"/>
    <s v="P-01"/>
    <x v="0"/>
    <n v="12500000"/>
    <x v="0"/>
    <x v="77"/>
    <n v="1"/>
    <n v="12500000"/>
    <s v="Tidak"/>
    <s v="0%"/>
    <n v="0"/>
    <n v="12500000"/>
  </r>
  <r>
    <s v="TRX-070"/>
    <x v="19"/>
    <s v="P-02"/>
    <x v="1"/>
    <n v="150000"/>
    <x v="1"/>
    <x v="78"/>
    <n v="3"/>
    <n v="450000"/>
    <s v="Tidak"/>
    <s v="0%"/>
    <n v="0"/>
    <n v="450000"/>
  </r>
  <r>
    <s v="TRX-095"/>
    <x v="19"/>
    <s v="P-03"/>
    <x v="2"/>
    <n v="450000"/>
    <x v="1"/>
    <x v="79"/>
    <n v="2"/>
    <n v="900000"/>
    <s v="Tidak"/>
    <s v="0%"/>
    <n v="0"/>
    <n v="900000"/>
  </r>
  <r>
    <s v="TRX-021"/>
    <x v="20"/>
    <s v="P-01"/>
    <x v="0"/>
    <n v="12500000"/>
    <x v="0"/>
    <x v="80"/>
    <n v="1"/>
    <n v="12500000"/>
    <s v="Ya"/>
    <s v="10%"/>
    <n v="1250000"/>
    <n v="11250000"/>
  </r>
  <r>
    <s v="TRX-046"/>
    <x v="20"/>
    <s v="P-02"/>
    <x v="1"/>
    <n v="150000"/>
    <x v="1"/>
    <x v="81"/>
    <n v="5"/>
    <n v="750000"/>
    <s v="Ya"/>
    <s v="0%"/>
    <n v="0"/>
    <n v="750000"/>
  </r>
  <r>
    <s v="TRX-071"/>
    <x v="20"/>
    <s v="P-03"/>
    <x v="2"/>
    <n v="450000"/>
    <x v="1"/>
    <x v="82"/>
    <n v="2"/>
    <n v="900000"/>
    <s v="Ya"/>
    <s v="0%"/>
    <n v="0"/>
    <n v="900000"/>
  </r>
  <r>
    <s v="TRX-096"/>
    <x v="20"/>
    <s v="P-04"/>
    <x v="3"/>
    <n v="2100000"/>
    <x v="0"/>
    <x v="83"/>
    <n v="1"/>
    <n v="2100000"/>
    <s v="Ya"/>
    <s v="10%"/>
    <n v="210000"/>
    <n v="1890000"/>
  </r>
  <r>
    <s v="TRX-022"/>
    <x v="21"/>
    <s v="P-02"/>
    <x v="1"/>
    <n v="150000"/>
    <x v="1"/>
    <x v="84"/>
    <n v="5"/>
    <n v="750000"/>
    <s v="Tidak"/>
    <s v="0%"/>
    <n v="0"/>
    <n v="750000"/>
  </r>
  <r>
    <s v="TRX-047"/>
    <x v="21"/>
    <s v="P-03"/>
    <x v="2"/>
    <n v="450000"/>
    <x v="1"/>
    <x v="85"/>
    <n v="2"/>
    <n v="900000"/>
    <s v="Tidak"/>
    <s v="0%"/>
    <n v="0"/>
    <n v="900000"/>
  </r>
  <r>
    <s v="TRX-072"/>
    <x v="21"/>
    <s v="P-04"/>
    <x v="3"/>
    <n v="2100000"/>
    <x v="0"/>
    <x v="86"/>
    <n v="1"/>
    <n v="2100000"/>
    <s v="Tidak"/>
    <s v="0%"/>
    <n v="0"/>
    <n v="2100000"/>
  </r>
  <r>
    <s v="TRX-023"/>
    <x v="22"/>
    <s v="P-03"/>
    <x v="2"/>
    <n v="450000"/>
    <x v="1"/>
    <x v="87"/>
    <n v="3"/>
    <n v="1350000"/>
    <s v="Ya"/>
    <s v="10%"/>
    <n v="135000"/>
    <n v="1215000"/>
  </r>
  <r>
    <s v="TRX-048"/>
    <x v="22"/>
    <s v="P-04"/>
    <x v="3"/>
    <n v="2100000"/>
    <x v="0"/>
    <x v="88"/>
    <n v="1"/>
    <n v="2100000"/>
    <s v="Ya"/>
    <s v="10%"/>
    <n v="210000"/>
    <n v="1890000"/>
  </r>
  <r>
    <s v="TRX-097"/>
    <x v="21"/>
    <s v="P-05"/>
    <x v="4"/>
    <n v="95000"/>
    <x v="1"/>
    <x v="88"/>
    <n v="5"/>
    <n v="475000"/>
    <s v="Tidak"/>
    <s v="0%"/>
    <n v="0"/>
    <n v="475000"/>
  </r>
  <r>
    <s v="TRX-073"/>
    <x v="22"/>
    <s v="P-05"/>
    <x v="4"/>
    <n v="95000"/>
    <x v="1"/>
    <x v="89"/>
    <n v="5"/>
    <n v="475000"/>
    <s v="Ya"/>
    <s v="0%"/>
    <n v="0"/>
    <n v="475000"/>
  </r>
  <r>
    <s v="TRX-098"/>
    <x v="22"/>
    <s v="P-01"/>
    <x v="0"/>
    <n v="12500000"/>
    <x v="0"/>
    <x v="90"/>
    <n v="1"/>
    <n v="12500000"/>
    <s v="Ya"/>
    <s v="10%"/>
    <n v="1250000"/>
    <n v="11250000"/>
  </r>
  <r>
    <s v="TRX-024"/>
    <x v="23"/>
    <s v="P-04"/>
    <x v="3"/>
    <n v="2100000"/>
    <x v="0"/>
    <x v="91"/>
    <n v="1"/>
    <n v="2100000"/>
    <s v="Tidak"/>
    <s v="0%"/>
    <n v="0"/>
    <n v="2100000"/>
  </r>
  <r>
    <s v="TRX-049"/>
    <x v="23"/>
    <s v="P-05"/>
    <x v="4"/>
    <n v="95000"/>
    <x v="1"/>
    <x v="92"/>
    <n v="4"/>
    <n v="380000"/>
    <s v="Tidak"/>
    <s v="0%"/>
    <n v="0"/>
    <n v="380000"/>
  </r>
  <r>
    <s v="TRX-074"/>
    <x v="23"/>
    <s v="P-01"/>
    <x v="0"/>
    <n v="12500000"/>
    <x v="0"/>
    <x v="93"/>
    <n v="1"/>
    <n v="12500000"/>
    <s v="Tidak"/>
    <s v="0%"/>
    <n v="0"/>
    <n v="12500000"/>
  </r>
  <r>
    <s v="TRX-099"/>
    <x v="23"/>
    <s v="P-02"/>
    <x v="1"/>
    <n v="150000"/>
    <x v="1"/>
    <x v="94"/>
    <n v="4"/>
    <n v="600000"/>
    <s v="Tidak"/>
    <s v="0%"/>
    <n v="0"/>
    <n v="600000"/>
  </r>
  <r>
    <s v="TRX-025"/>
    <x v="24"/>
    <s v="P-05"/>
    <x v="4"/>
    <n v="95000"/>
    <x v="1"/>
    <x v="95"/>
    <n v="10"/>
    <n v="950000"/>
    <s v="Ya"/>
    <s v="0%"/>
    <n v="0"/>
    <n v="950000"/>
  </r>
  <r>
    <s v="TRX-050"/>
    <x v="24"/>
    <s v="P-01"/>
    <x v="0"/>
    <n v="12500000"/>
    <x v="0"/>
    <x v="96"/>
    <n v="2"/>
    <n v="25000000"/>
    <s v="Ya"/>
    <s v="10%"/>
    <n v="2500000"/>
    <n v="22500000"/>
  </r>
  <r>
    <s v="TRX-075"/>
    <x v="24"/>
    <s v="P-02"/>
    <x v="1"/>
    <n v="150000"/>
    <x v="1"/>
    <x v="97"/>
    <n v="4"/>
    <n v="600000"/>
    <s v="Ya"/>
    <s v="0%"/>
    <n v="0"/>
    <n v="600000"/>
  </r>
  <r>
    <s v="TRX-100"/>
    <x v="24"/>
    <s v="P-03"/>
    <x v="2"/>
    <n v="450000"/>
    <x v="1"/>
    <x v="98"/>
    <n v="2"/>
    <n v="900000"/>
    <s v="Ya"/>
    <s v="0%"/>
    <n v="0"/>
    <n v="9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BB5DE4-E05E-4010-B668-0E5712D0134F}" name="TotalSales" cacheId="2" applyNumberFormats="0" applyBorderFormats="0" applyFontFormats="0" applyPatternFormats="0" applyAlignmentFormats="0" applyWidthHeightFormats="1" dataCaption="Values" updatedVersion="8" minRefreshableVersion="5" useAutoFormatting="1" rowGrandTotals="0" colGrandTotals="0" itemPrintTitles="1" createdVersion="8" indent="0" compact="0" compactData="0" multipleFieldFilters="0" chartFormat="17">
  <location ref="A4:C7" firstHeaderRow="1" firstDataRow="2" firstDataCol="2"/>
  <pivotFields count="15">
    <pivotField compact="0" outline="0" showAll="0" defaultSubtotal="0"/>
    <pivotField compact="0" outline="0" showAll="0" defaultSubtotal="0"/>
    <pivotField compact="0" outline="0" showAll="0" defaultSubtotal="0"/>
    <pivotField axis="axisCol" compact="0" outline="0" showAll="0" defaultSubtotal="0">
      <items count="5">
        <item x="4"/>
        <item h="1" x="2"/>
        <item h="1" x="0"/>
        <item h="1" x="3"/>
        <item h="1" x="1"/>
      </items>
    </pivotField>
    <pivotField compact="0" numFmtId="166" outline="0" showAll="0" defaultSubtotal="0"/>
    <pivotField compact="0" outline="0" showAll="0" defaultSubtotal="0"/>
    <pivotField compact="0" numFmtId="165" outline="0" showAll="0" defaultSubtota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</items>
    </pivotField>
    <pivotField compact="0" outline="0" showAll="0" defaultSubtotal="0"/>
    <pivotField compact="0" numFmtId="166" outline="0" showAll="0" defaultSubtotal="0"/>
    <pivotField compact="0" outline="0" showAll="0" defaultSubtotal="0"/>
    <pivotField compact="0" outline="0" showAll="0" defaultSubtotal="0"/>
    <pivotField compact="0" numFmtId="167" outline="0" showAll="0" defaultSubtotal="0"/>
    <pivotField dataField="1" compact="0" numFmtId="164" outline="0" showAll="0" defaultSubtotal="0"/>
    <pivotField axis="axisRow"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compact="0" outline="0" subtotalTop="0" showAll="0" defaultSubtotal="0">
      <items count="5">
        <item x="0"/>
        <item x="1"/>
        <item x="2"/>
        <item x="3"/>
        <item x="4"/>
      </items>
    </pivotField>
  </pivotFields>
  <rowFields count="2">
    <field x="14"/>
    <field x="13"/>
  </rowFields>
  <rowItems count="2">
    <i>
      <x v="1"/>
      <x v="3"/>
    </i>
    <i r="1">
      <x v="4"/>
    </i>
  </rowItems>
  <colFields count="1">
    <field x="3"/>
  </colFields>
  <colItems count="1">
    <i>
      <x/>
    </i>
  </colItems>
  <dataFields count="1">
    <dataField name="Sum of Total Bayar" fld="12" baseField="0" baseItem="0" numFmtId="164"/>
  </dataFields>
  <formats count="18">
    <format dxfId="115">
      <pivotArea type="all" dataOnly="0" outline="0" fieldPosition="0"/>
    </format>
    <format dxfId="114">
      <pivotArea outline="0" collapsedLevelsAreSubtotals="1" fieldPosition="0"/>
    </format>
    <format dxfId="113">
      <pivotArea type="origin" dataOnly="0" labelOnly="1" outline="0" fieldPosition="0"/>
    </format>
    <format dxfId="112">
      <pivotArea field="3" type="button" dataOnly="0" labelOnly="1" outline="0" axis="axisCol" fieldPosition="0"/>
    </format>
    <format dxfId="111">
      <pivotArea field="14" type="button" dataOnly="0" labelOnly="1" outline="0" axis="axisRow" fieldPosition="0"/>
    </format>
    <format dxfId="110">
      <pivotArea field="13" type="button" dataOnly="0" labelOnly="1" outline="0" axis="axisRow" fieldPosition="1"/>
    </format>
    <format dxfId="109">
      <pivotArea dataOnly="0" labelOnly="1" outline="0" fieldPosition="0">
        <references count="1">
          <reference field="14" count="1">
            <x v="1"/>
          </reference>
        </references>
      </pivotArea>
    </format>
    <format dxfId="108">
      <pivotArea dataOnly="0" labelOnly="1" outline="0" fieldPosition="0">
        <references count="2">
          <reference field="13" count="2">
            <x v="3"/>
            <x v="4"/>
          </reference>
          <reference field="14" count="1" selected="0">
            <x v="1"/>
          </reference>
        </references>
      </pivotArea>
    </format>
    <format dxfId="107">
      <pivotArea dataOnly="0" labelOnly="1" outline="0" fieldPosition="0">
        <references count="1">
          <reference field="3" count="0"/>
        </references>
      </pivotArea>
    </format>
    <format dxfId="106">
      <pivotArea type="all" dataOnly="0" outline="0" fieldPosition="0"/>
    </format>
    <format dxfId="105">
      <pivotArea outline="0" collapsedLevelsAreSubtotals="1" fieldPosition="0"/>
    </format>
    <format dxfId="104">
      <pivotArea type="origin" dataOnly="0" labelOnly="1" outline="0" fieldPosition="0"/>
    </format>
    <format dxfId="103">
      <pivotArea field="3" type="button" dataOnly="0" labelOnly="1" outline="0" axis="axisCol" fieldPosition="0"/>
    </format>
    <format dxfId="102">
      <pivotArea field="14" type="button" dataOnly="0" labelOnly="1" outline="0" axis="axisRow" fieldPosition="0"/>
    </format>
    <format dxfId="101">
      <pivotArea field="13" type="button" dataOnly="0" labelOnly="1" outline="0" axis="axisRow" fieldPosition="1"/>
    </format>
    <format dxfId="100">
      <pivotArea dataOnly="0" labelOnly="1" outline="0" fieldPosition="0">
        <references count="1">
          <reference field="14" count="1">
            <x v="1"/>
          </reference>
        </references>
      </pivotArea>
    </format>
    <format dxfId="99">
      <pivotArea dataOnly="0" labelOnly="1" outline="0" fieldPosition="0">
        <references count="2">
          <reference field="13" count="2">
            <x v="3"/>
            <x v="4"/>
          </reference>
          <reference field="14" count="1" selected="0">
            <x v="1"/>
          </reference>
        </references>
      </pivotArea>
    </format>
    <format dxfId="98">
      <pivotArea dataOnly="0" labelOnly="1" outline="0" fieldPosition="0">
        <references count="1">
          <reference field="3" count="0"/>
        </references>
      </pivotArea>
    </format>
  </formats>
  <chartFormats count="1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dateBetween" evalOrder="-1" id="30" name="Tanggal Beli">
      <autoFilter ref="A1">
        <filterColumn colId="0">
          <customFilters and="1">
            <customFilter operator="greaterThanOrEqual" val="44986"/>
            <customFilter operator="lessThanOrEqual" val="4507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697881-0AEA-4540-86C9-26DC5330A351}" name="TotalSales" cacheId="2" applyNumberFormats="0" applyBorderFormats="0" applyFontFormats="0" applyPatternFormats="0" applyAlignmentFormats="0" applyWidthHeightFormats="1" dataCaption="Values" updatedVersion="8" minRefreshableVersion="5" useAutoFormatting="1" rowGrandTotals="0" colGrandTotals="0" itemPrintTitles="1" createdVersion="8" indent="0" compact="0" compactData="0" multipleFieldFilters="0" chartFormat="19">
  <location ref="A4:C24" firstHeaderRow="1" firstDataRow="2" firstDataCol="2"/>
  <pivotFields count="15">
    <pivotField compact="0" outline="0" showAll="0" defaultSubtotal="0"/>
    <pivotField compact="0" outline="0" showAll="0" defaultSubtotal="0"/>
    <pivotField compact="0" outline="0" showAll="0" defaultSubtotal="0"/>
    <pivotField axis="axisCol" compact="0" outline="0" showAll="0" defaultSubtotal="0">
      <items count="5">
        <item h="1" x="4"/>
        <item x="2"/>
        <item h="1" x="0"/>
        <item h="1" x="3"/>
        <item h="1" x="1"/>
      </items>
    </pivotField>
    <pivotField compact="0" numFmtId="166" outline="0" showAll="0" defaultSubtotal="0"/>
    <pivotField compact="0" outline="0" showAll="0" defaultSubtotal="0"/>
    <pivotField compact="0" numFmtId="165" outline="0" showAll="0" defaultSubtota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</items>
    </pivotField>
    <pivotField compact="0" outline="0" showAll="0" defaultSubtotal="0"/>
    <pivotField compact="0" numFmtId="166" outline="0" showAll="0" defaultSubtotal="0"/>
    <pivotField compact="0" outline="0" showAll="0" defaultSubtotal="0"/>
    <pivotField compact="0" outline="0" showAll="0" defaultSubtotal="0"/>
    <pivotField compact="0" numFmtId="167" outline="0" showAll="0" defaultSubtotal="0"/>
    <pivotField dataField="1" compact="0" numFmtId="164" outline="0" showAll="0" defaultSubtotal="0"/>
    <pivotField axis="axisRow"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compact="0" outline="0" subtotalTop="0" showAll="0" defaultSubtotal="0">
      <items count="5">
        <item x="0"/>
        <item x="1"/>
        <item x="2"/>
        <item x="3"/>
        <item x="4"/>
      </items>
    </pivotField>
  </pivotFields>
  <rowFields count="2">
    <field x="14"/>
    <field x="13"/>
  </rowFields>
  <rowItems count="19">
    <i>
      <x v="1"/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10"/>
    </i>
    <i r="1">
      <x v="11"/>
    </i>
    <i r="1">
      <x v="12"/>
    </i>
    <i>
      <x v="2"/>
      <x v="1"/>
    </i>
    <i r="1">
      <x v="3"/>
    </i>
    <i r="1">
      <x v="4"/>
    </i>
    <i r="1">
      <x v="5"/>
    </i>
    <i r="1">
      <x v="6"/>
    </i>
    <i r="1">
      <x v="9"/>
    </i>
    <i r="1">
      <x v="10"/>
    </i>
    <i r="1">
      <x v="11"/>
    </i>
    <i>
      <x v="3"/>
      <x v="1"/>
    </i>
  </rowItems>
  <colFields count="1">
    <field x="3"/>
  </colFields>
  <colItems count="1">
    <i>
      <x v="1"/>
    </i>
  </colItems>
  <dataFields count="1">
    <dataField name="Sum of Total Bayar" fld="12" baseField="0" baseItem="0" numFmtId="164"/>
  </dataFields>
  <formats count="22">
    <format dxfId="97">
      <pivotArea type="all" dataOnly="0" outline="0" fieldPosition="0"/>
    </format>
    <format dxfId="96">
      <pivotArea outline="0" collapsedLevelsAreSubtotals="1" fieldPosition="0"/>
    </format>
    <format dxfId="95">
      <pivotArea type="origin" dataOnly="0" labelOnly="1" outline="0" fieldPosition="0"/>
    </format>
    <format dxfId="94">
      <pivotArea field="3" type="button" dataOnly="0" labelOnly="1" outline="0" axis="axisCol" fieldPosition="0"/>
    </format>
    <format dxfId="93">
      <pivotArea field="14" type="button" dataOnly="0" labelOnly="1" outline="0" axis="axisRow" fieldPosition="0"/>
    </format>
    <format dxfId="92">
      <pivotArea field="13" type="button" dataOnly="0" labelOnly="1" outline="0" axis="axisRow" fieldPosition="1"/>
    </format>
    <format dxfId="91">
      <pivotArea dataOnly="0" labelOnly="1" outline="0" fieldPosition="0">
        <references count="1">
          <reference field="14" count="3">
            <x v="1"/>
            <x v="2"/>
            <x v="3"/>
          </reference>
        </references>
      </pivotArea>
    </format>
    <format dxfId="90">
      <pivotArea dataOnly="0" labelOnly="1" outline="0" fieldPosition="0">
        <references count="2">
          <reference field="13" count="10">
            <x v="1"/>
            <x v="2"/>
            <x v="3"/>
            <x v="5"/>
            <x v="6"/>
            <x v="7"/>
            <x v="8"/>
            <x v="10"/>
            <x v="11"/>
            <x v="12"/>
          </reference>
          <reference field="14" count="1" selected="0">
            <x v="1"/>
          </reference>
        </references>
      </pivotArea>
    </format>
    <format dxfId="89">
      <pivotArea dataOnly="0" labelOnly="1" outline="0" fieldPosition="0">
        <references count="2">
          <reference field="13" count="8">
            <x v="1"/>
            <x v="3"/>
            <x v="4"/>
            <x v="5"/>
            <x v="6"/>
            <x v="9"/>
            <x v="10"/>
            <x v="11"/>
          </reference>
          <reference field="14" count="1" selected="0">
            <x v="2"/>
          </reference>
        </references>
      </pivotArea>
    </format>
    <format dxfId="88">
      <pivotArea dataOnly="0" labelOnly="1" outline="0" fieldPosition="0">
        <references count="2">
          <reference field="13" count="1">
            <x v="1"/>
          </reference>
          <reference field="14" count="1" selected="0">
            <x v="3"/>
          </reference>
        </references>
      </pivotArea>
    </format>
    <format dxfId="87">
      <pivotArea dataOnly="0" labelOnly="1" outline="0" fieldPosition="0">
        <references count="1">
          <reference field="3" count="0"/>
        </references>
      </pivotArea>
    </format>
    <format dxfId="86">
      <pivotArea type="all" dataOnly="0" outline="0" fieldPosition="0"/>
    </format>
    <format dxfId="85">
      <pivotArea outline="0" collapsedLevelsAreSubtotals="1" fieldPosition="0"/>
    </format>
    <format dxfId="84">
      <pivotArea type="origin" dataOnly="0" labelOnly="1" outline="0" fieldPosition="0"/>
    </format>
    <format dxfId="83">
      <pivotArea field="3" type="button" dataOnly="0" labelOnly="1" outline="0" axis="axisCol" fieldPosition="0"/>
    </format>
    <format dxfId="82">
      <pivotArea field="14" type="button" dataOnly="0" labelOnly="1" outline="0" axis="axisRow" fieldPosition="0"/>
    </format>
    <format dxfId="81">
      <pivotArea field="13" type="button" dataOnly="0" labelOnly="1" outline="0" axis="axisRow" fieldPosition="1"/>
    </format>
    <format dxfId="80">
      <pivotArea dataOnly="0" labelOnly="1" outline="0" fieldPosition="0">
        <references count="1">
          <reference field="14" count="3">
            <x v="1"/>
            <x v="2"/>
            <x v="3"/>
          </reference>
        </references>
      </pivotArea>
    </format>
    <format dxfId="79">
      <pivotArea dataOnly="0" labelOnly="1" outline="0" fieldPosition="0">
        <references count="2">
          <reference field="13" count="10">
            <x v="1"/>
            <x v="2"/>
            <x v="3"/>
            <x v="5"/>
            <x v="6"/>
            <x v="7"/>
            <x v="8"/>
            <x v="10"/>
            <x v="11"/>
            <x v="12"/>
          </reference>
          <reference field="14" count="1" selected="0">
            <x v="1"/>
          </reference>
        </references>
      </pivotArea>
    </format>
    <format dxfId="78">
      <pivotArea dataOnly="0" labelOnly="1" outline="0" fieldPosition="0">
        <references count="2">
          <reference field="13" count="8">
            <x v="1"/>
            <x v="3"/>
            <x v="4"/>
            <x v="5"/>
            <x v="6"/>
            <x v="9"/>
            <x v="10"/>
            <x v="11"/>
          </reference>
          <reference field="14" count="1" selected="0">
            <x v="2"/>
          </reference>
        </references>
      </pivotArea>
    </format>
    <format dxfId="77">
      <pivotArea dataOnly="0" labelOnly="1" outline="0" fieldPosition="0">
        <references count="2">
          <reference field="13" count="1">
            <x v="1"/>
          </reference>
          <reference field="14" count="1" selected="0">
            <x v="3"/>
          </reference>
        </references>
      </pivotArea>
    </format>
    <format dxfId="76">
      <pivotArea dataOnly="0" labelOnly="1" outline="0" fieldPosition="0">
        <references count="1">
          <reference field="3" count="0"/>
        </references>
      </pivotArea>
    </format>
  </formats>
  <chartFormats count="13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5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4" count="1" selected="0">
            <x v="3"/>
          </reference>
        </references>
      </pivotArea>
    </chartFormat>
    <chartFormat chart="2" format="6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4" count="1" selected="0">
            <x v="3"/>
          </reference>
        </references>
      </pivotArea>
    </chartFormat>
    <chartFormat chart="2" format="7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4" count="1" selected="0">
            <x v="3"/>
          </reference>
        </references>
      </pivotArea>
    </chartFormat>
    <chartFormat chart="2" format="8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14" count="1" selected="0">
            <x v="3"/>
          </reference>
        </references>
      </pivotArea>
    </chartFormat>
    <chartFormat chart="2" format="9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14" count="1" selected="0">
            <x v="3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DC2BA8-24EA-490B-8648-6D53F17CE8D7}" name="TotalSales" cacheId="2" applyNumberFormats="0" applyBorderFormats="0" applyFontFormats="0" applyPatternFormats="0" applyAlignmentFormats="0" applyWidthHeightFormats="1" dataCaption="Values" updatedVersion="8" minRefreshableVersion="5" useAutoFormatting="1" rowGrandTotals="0" colGrandTotals="0" itemPrintTitles="1" createdVersion="8" indent="0" compact="0" compactData="0" multipleFieldFilters="0" chartFormat="21">
  <location ref="A4:C13" firstHeaderRow="1" firstDataRow="2" firstDataCol="2"/>
  <pivotFields count="15">
    <pivotField compact="0" outline="0" showAll="0" defaultSubtotal="0"/>
    <pivotField compact="0" outline="0" showAll="0" defaultSubtotal="0"/>
    <pivotField compact="0" outline="0" showAll="0" defaultSubtotal="0"/>
    <pivotField axis="axisCol" compact="0" outline="0" showAll="0" defaultSubtotal="0">
      <items count="5">
        <item h="1" x="4"/>
        <item h="1" x="2"/>
        <item h="1" x="0"/>
        <item x="3"/>
        <item h="1" x="1"/>
      </items>
    </pivotField>
    <pivotField compact="0" numFmtId="166" outline="0" showAll="0" defaultSubtotal="0"/>
    <pivotField compact="0" outline="0" showAll="0" defaultSubtotal="0"/>
    <pivotField compact="0" numFmtId="165" outline="0" showAll="0" defaultSubtota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</items>
    </pivotField>
    <pivotField compact="0" outline="0" showAll="0" defaultSubtotal="0"/>
    <pivotField compact="0" numFmtId="166" outline="0" showAll="0" defaultSubtotal="0"/>
    <pivotField compact="0" outline="0" showAll="0" defaultSubtotal="0"/>
    <pivotField compact="0" outline="0" showAll="0" defaultSubtotal="0"/>
    <pivotField compact="0" numFmtId="167" outline="0" showAll="0" defaultSubtotal="0"/>
    <pivotField dataField="1" compact="0" numFmtId="164" outline="0" showAll="0" defaultSubtotal="0"/>
    <pivotField axis="axisRow"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compact="0" outline="0" subtotalTop="0" showAll="0" defaultSubtotal="0">
      <items count="5">
        <item x="0"/>
        <item x="1"/>
        <item x="2"/>
        <item x="3"/>
        <item x="4"/>
      </items>
    </pivotField>
  </pivotFields>
  <rowFields count="2">
    <field x="14"/>
    <field x="13"/>
  </rowFields>
  <rowItems count="8">
    <i>
      <x v="1"/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</rowItems>
  <colFields count="1">
    <field x="3"/>
  </colFields>
  <colItems count="1">
    <i>
      <x v="3"/>
    </i>
  </colItems>
  <dataFields count="1">
    <dataField name="Sum of Total Bayar" fld="12" baseField="0" baseItem="0" numFmtId="164"/>
  </dataFields>
  <formats count="18">
    <format dxfId="75">
      <pivotArea type="all" dataOnly="0" outline="0" fieldPosition="0"/>
    </format>
    <format dxfId="74">
      <pivotArea outline="0" collapsedLevelsAreSubtotals="1" fieldPosition="0"/>
    </format>
    <format dxfId="73">
      <pivotArea type="origin" dataOnly="0" labelOnly="1" outline="0" fieldPosition="0"/>
    </format>
    <format dxfId="72">
      <pivotArea field="3" type="button" dataOnly="0" labelOnly="1" outline="0" axis="axisCol" fieldPosition="0"/>
    </format>
    <format dxfId="71">
      <pivotArea field="14" type="button" dataOnly="0" labelOnly="1" outline="0" axis="axisRow" fieldPosition="0"/>
    </format>
    <format dxfId="70">
      <pivotArea field="13" type="button" dataOnly="0" labelOnly="1" outline="0" axis="axisRow" fieldPosition="1"/>
    </format>
    <format dxfId="69">
      <pivotArea dataOnly="0" labelOnly="1" outline="0" fieldPosition="0">
        <references count="1">
          <reference field="14" count="1">
            <x v="1"/>
          </reference>
        </references>
      </pivotArea>
    </format>
    <format dxfId="68">
      <pivotArea dataOnly="0" labelOnly="1" outline="0" fieldPosition="0">
        <references count="2">
          <reference field="13" count="8">
            <x v="1"/>
            <x v="2"/>
            <x v="3"/>
            <x v="5"/>
            <x v="6"/>
            <x v="7"/>
            <x v="8"/>
            <x v="9"/>
          </reference>
          <reference field="14" count="1" selected="0">
            <x v="1"/>
          </reference>
        </references>
      </pivotArea>
    </format>
    <format dxfId="67">
      <pivotArea dataOnly="0" labelOnly="1" outline="0" fieldPosition="0">
        <references count="1">
          <reference field="3" count="0"/>
        </references>
      </pivotArea>
    </format>
    <format dxfId="66">
      <pivotArea type="all" dataOnly="0" outline="0" fieldPosition="0"/>
    </format>
    <format dxfId="65">
      <pivotArea outline="0" collapsedLevelsAreSubtotals="1" fieldPosition="0"/>
    </format>
    <format dxfId="64">
      <pivotArea type="origin" dataOnly="0" labelOnly="1" outline="0" fieldPosition="0"/>
    </format>
    <format dxfId="63">
      <pivotArea field="3" type="button" dataOnly="0" labelOnly="1" outline="0" axis="axisCol" fieldPosition="0"/>
    </format>
    <format dxfId="62">
      <pivotArea field="14" type="button" dataOnly="0" labelOnly="1" outline="0" axis="axisRow" fieldPosition="0"/>
    </format>
    <format dxfId="61">
      <pivotArea field="13" type="button" dataOnly="0" labelOnly="1" outline="0" axis="axisRow" fieldPosition="1"/>
    </format>
    <format dxfId="60">
      <pivotArea dataOnly="0" labelOnly="1" outline="0" fieldPosition="0">
        <references count="1">
          <reference field="14" count="1">
            <x v="1"/>
          </reference>
        </references>
      </pivotArea>
    </format>
    <format dxfId="59">
      <pivotArea dataOnly="0" labelOnly="1" outline="0" fieldPosition="0">
        <references count="2">
          <reference field="13" count="8">
            <x v="1"/>
            <x v="2"/>
            <x v="3"/>
            <x v="5"/>
            <x v="6"/>
            <x v="7"/>
            <x v="8"/>
            <x v="9"/>
          </reference>
          <reference field="14" count="1" selected="0">
            <x v="1"/>
          </reference>
        </references>
      </pivotArea>
    </format>
    <format dxfId="58">
      <pivotArea dataOnly="0" labelOnly="1" outline="0" fieldPosition="0">
        <references count="1">
          <reference field="3" count="0"/>
        </references>
      </pivotArea>
    </format>
  </formats>
  <chartFormats count="15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5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4" count="1" selected="0">
            <x v="3"/>
          </reference>
        </references>
      </pivotArea>
    </chartFormat>
    <chartFormat chart="2" format="6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4" count="1" selected="0">
            <x v="3"/>
          </reference>
        </references>
      </pivotArea>
    </chartFormat>
    <chartFormat chart="2" format="7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4" count="1" selected="0">
            <x v="3"/>
          </reference>
        </references>
      </pivotArea>
    </chartFormat>
    <chartFormat chart="2" format="8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14" count="1" selected="0">
            <x v="3"/>
          </reference>
        </references>
      </pivotArea>
    </chartFormat>
    <chartFormat chart="2" format="9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14" count="1" selected="0">
            <x v="3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dateBetween" evalOrder="-1" id="14" name="Tanggal Beli">
      <autoFilter ref="A1">
        <filterColumn colId="0">
          <customFilters and="1">
            <customFilter operator="greaterThanOrEqual" val="44927"/>
            <customFilter operator="lessThanOrEqual" val="4519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4A6E43-8DB7-45B6-A686-35ED79F24811}" name="TotalSales" cacheId="2" applyNumberFormats="0" applyBorderFormats="0" applyFontFormats="0" applyPatternFormats="0" applyAlignmentFormats="0" applyWidthHeightFormats="1" dataCaption="Values" updatedVersion="8" minRefreshableVersion="5" useAutoFormatting="1" rowGrandTotals="0" colGrandTotals="0" itemPrintTitles="1" createdVersion="8" indent="0" compact="0" compactData="0" multipleFieldFilters="0" chartFormat="19">
  <location ref="A4:C13" firstHeaderRow="1" firstDataRow="2" firstDataCol="2"/>
  <pivotFields count="15">
    <pivotField compact="0" outline="0" showAll="0" defaultSubtotal="0"/>
    <pivotField compact="0" outline="0" showAll="0" defaultSubtotal="0"/>
    <pivotField compact="0" outline="0" showAll="0" defaultSubtotal="0"/>
    <pivotField axis="axisCol" compact="0" outline="0" showAll="0" defaultSubtotal="0">
      <items count="5">
        <item h="1" x="4"/>
        <item h="1" x="2"/>
        <item x="0"/>
        <item h="1" x="3"/>
        <item h="1" x="1"/>
      </items>
    </pivotField>
    <pivotField compact="0" numFmtId="166" outline="0" showAll="0" defaultSubtotal="0"/>
    <pivotField compact="0" outline="0" showAll="0" defaultSubtotal="0"/>
    <pivotField compact="0" numFmtId="165" outline="0" showAll="0" defaultSubtota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</items>
    </pivotField>
    <pivotField compact="0" outline="0" showAll="0" defaultSubtotal="0"/>
    <pivotField compact="0" numFmtId="166" outline="0" showAll="0" defaultSubtotal="0"/>
    <pivotField compact="0" outline="0" showAll="0" defaultSubtotal="0"/>
    <pivotField compact="0" outline="0" showAll="0" defaultSubtotal="0"/>
    <pivotField compact="0" numFmtId="167" outline="0" showAll="0" defaultSubtotal="0"/>
    <pivotField dataField="1" compact="0" numFmtId="164" outline="0" showAll="0" defaultSubtotal="0"/>
    <pivotField axis="axisRow"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compact="0" outline="0" subtotalTop="0" showAll="0" defaultSubtotal="0">
      <items count="5">
        <item x="0"/>
        <item x="1"/>
        <item x="2"/>
        <item x="3"/>
        <item x="4"/>
      </items>
    </pivotField>
  </pivotFields>
  <rowFields count="2">
    <field x="14"/>
    <field x="13"/>
  </rowFields>
  <rowItems count="8">
    <i>
      <x v="1"/>
      <x v="3"/>
    </i>
    <i r="1">
      <x v="4"/>
    </i>
    <i r="1">
      <x v="5"/>
    </i>
    <i r="1">
      <x v="8"/>
    </i>
    <i r="1">
      <x v="9"/>
    </i>
    <i r="1">
      <x v="10"/>
    </i>
    <i r="1">
      <x v="11"/>
    </i>
    <i>
      <x v="2"/>
      <x v="1"/>
    </i>
  </rowItems>
  <colFields count="1">
    <field x="3"/>
  </colFields>
  <colItems count="1">
    <i>
      <x v="2"/>
    </i>
  </colItems>
  <dataFields count="1">
    <dataField name="Sum of Total Bayar" fld="12" baseField="0" baseItem="0" numFmtId="164"/>
  </dataFields>
  <formats count="20">
    <format dxfId="57">
      <pivotArea type="all" dataOnly="0" outline="0" fieldPosition="0"/>
    </format>
    <format dxfId="56">
      <pivotArea outline="0" collapsedLevelsAreSubtotals="1" fieldPosition="0"/>
    </format>
    <format dxfId="55">
      <pivotArea type="origin" dataOnly="0" labelOnly="1" outline="0" fieldPosition="0"/>
    </format>
    <format dxfId="54">
      <pivotArea field="3" type="button" dataOnly="0" labelOnly="1" outline="0" axis="axisCol" fieldPosition="0"/>
    </format>
    <format dxfId="53">
      <pivotArea field="14" type="button" dataOnly="0" labelOnly="1" outline="0" axis="axisRow" fieldPosition="0"/>
    </format>
    <format dxfId="52">
      <pivotArea field="13" type="button" dataOnly="0" labelOnly="1" outline="0" axis="axisRow" fieldPosition="1"/>
    </format>
    <format dxfId="51">
      <pivotArea dataOnly="0" labelOnly="1" outline="0" fieldPosition="0">
        <references count="1">
          <reference field="14" count="2">
            <x v="1"/>
            <x v="2"/>
          </reference>
        </references>
      </pivotArea>
    </format>
    <format dxfId="50">
      <pivotArea dataOnly="0" labelOnly="1" outline="0" fieldPosition="0">
        <references count="2">
          <reference field="13" count="7">
            <x v="3"/>
            <x v="4"/>
            <x v="5"/>
            <x v="8"/>
            <x v="9"/>
            <x v="10"/>
            <x v="11"/>
          </reference>
          <reference field="14" count="1" selected="0">
            <x v="1"/>
          </reference>
        </references>
      </pivotArea>
    </format>
    <format dxfId="49">
      <pivotArea dataOnly="0" labelOnly="1" outline="0" fieldPosition="0">
        <references count="2">
          <reference field="13" count="1">
            <x v="1"/>
          </reference>
          <reference field="14" count="1" selected="0">
            <x v="2"/>
          </reference>
        </references>
      </pivotArea>
    </format>
    <format dxfId="48">
      <pivotArea dataOnly="0" labelOnly="1" outline="0" fieldPosition="0">
        <references count="1">
          <reference field="3" count="0"/>
        </references>
      </pivotArea>
    </format>
    <format dxfId="47">
      <pivotArea type="all" dataOnly="0" outline="0" fieldPosition="0"/>
    </format>
    <format dxfId="46">
      <pivotArea outline="0" collapsedLevelsAreSubtotals="1" fieldPosition="0"/>
    </format>
    <format dxfId="45">
      <pivotArea type="origin" dataOnly="0" labelOnly="1" outline="0" fieldPosition="0"/>
    </format>
    <format dxfId="44">
      <pivotArea field="3" type="button" dataOnly="0" labelOnly="1" outline="0" axis="axisCol" fieldPosition="0"/>
    </format>
    <format dxfId="43">
      <pivotArea field="14" type="button" dataOnly="0" labelOnly="1" outline="0" axis="axisRow" fieldPosition="0"/>
    </format>
    <format dxfId="42">
      <pivotArea field="13" type="button" dataOnly="0" labelOnly="1" outline="0" axis="axisRow" fieldPosition="1"/>
    </format>
    <format dxfId="41">
      <pivotArea dataOnly="0" labelOnly="1" outline="0" fieldPosition="0">
        <references count="1">
          <reference field="14" count="2">
            <x v="1"/>
            <x v="2"/>
          </reference>
        </references>
      </pivotArea>
    </format>
    <format dxfId="40">
      <pivotArea dataOnly="0" labelOnly="1" outline="0" fieldPosition="0">
        <references count="2">
          <reference field="13" count="7">
            <x v="3"/>
            <x v="4"/>
            <x v="5"/>
            <x v="8"/>
            <x v="9"/>
            <x v="10"/>
            <x v="11"/>
          </reference>
          <reference field="14" count="1" selected="0">
            <x v="1"/>
          </reference>
        </references>
      </pivotArea>
    </format>
    <format dxfId="39">
      <pivotArea dataOnly="0" labelOnly="1" outline="0" fieldPosition="0">
        <references count="2">
          <reference field="13" count="1">
            <x v="1"/>
          </reference>
          <reference field="14" count="1" selected="0">
            <x v="2"/>
          </reference>
        </references>
      </pivotArea>
    </format>
    <format dxfId="38">
      <pivotArea dataOnly="0" labelOnly="1" outline="0" fieldPosition="0">
        <references count="1">
          <reference field="3" count="0"/>
        </references>
      </pivotArea>
    </format>
  </formats>
  <chartFormats count="14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5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4" count="1" selected="0">
            <x v="3"/>
          </reference>
        </references>
      </pivotArea>
    </chartFormat>
    <chartFormat chart="2" format="6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4" count="1" selected="0">
            <x v="3"/>
          </reference>
        </references>
      </pivotArea>
    </chartFormat>
    <chartFormat chart="2" format="7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4" count="1" selected="0">
            <x v="3"/>
          </reference>
        </references>
      </pivotArea>
    </chartFormat>
    <chartFormat chart="2" format="8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14" count="1" selected="0">
            <x v="3"/>
          </reference>
        </references>
      </pivotArea>
    </chartFormat>
    <chartFormat chart="2" format="9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14" count="1" selected="0">
            <x v="3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dateBetween" evalOrder="-1" id="6" name="Tanggal Beli">
      <autoFilter ref="A1">
        <filterColumn colId="0">
          <customFilters and="1">
            <customFilter operator="greaterThanOrEqual" val="44958"/>
            <customFilter operator="lessThanOrEqual" val="4532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BC3BA0-37CD-4EB0-A82F-7E9D15D7FF2F}" name="TotalSales" cacheId="2" applyNumberFormats="0" applyBorderFormats="0" applyFontFormats="0" applyPatternFormats="0" applyAlignmentFormats="0" applyWidthHeightFormats="1" dataCaption="Values" updatedVersion="8" minRefreshableVersion="5" useAutoFormatting="1" rowGrandTotals="0" colGrandTotals="0" itemPrintTitles="1" createdVersion="8" indent="0" compact="0" compactData="0" multipleFieldFilters="0" chartFormat="20">
  <location ref="A4:C13" firstHeaderRow="1" firstDataRow="2" firstDataCol="2"/>
  <pivotFields count="15">
    <pivotField compact="0" outline="0" showAll="0" defaultSubtotal="0"/>
    <pivotField compact="0" outline="0" showAll="0" defaultSubtotal="0"/>
    <pivotField compact="0" outline="0" showAll="0" defaultSubtotal="0"/>
    <pivotField axis="axisCol" compact="0" outline="0" showAll="0" defaultSubtotal="0">
      <items count="5">
        <item h="1" x="4"/>
        <item h="1" x="2"/>
        <item h="1" x="0"/>
        <item h="1" x="3"/>
        <item x="1"/>
      </items>
    </pivotField>
    <pivotField compact="0" numFmtId="166" outline="0" showAll="0" defaultSubtotal="0"/>
    <pivotField compact="0" outline="0" showAll="0" defaultSubtotal="0"/>
    <pivotField compact="0" numFmtId="165" outline="0" showAll="0" defaultSubtota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</items>
    </pivotField>
    <pivotField compact="0" outline="0" showAll="0" defaultSubtotal="0"/>
    <pivotField compact="0" numFmtId="166" outline="0" showAll="0" defaultSubtotal="0"/>
    <pivotField compact="0" outline="0" showAll="0" defaultSubtotal="0"/>
    <pivotField compact="0" outline="0" showAll="0" defaultSubtotal="0"/>
    <pivotField compact="0" numFmtId="167" outline="0" showAll="0" defaultSubtotal="0"/>
    <pivotField dataField="1" compact="0" numFmtId="164" outline="0" showAll="0" defaultSubtotal="0"/>
    <pivotField axis="axisRow"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compact="0" outline="0" subtotalTop="0" showAll="0" defaultSubtotal="0">
      <items count="5">
        <item x="0"/>
        <item x="1"/>
        <item x="2"/>
        <item x="3"/>
        <item x="4"/>
      </items>
    </pivotField>
  </pivotFields>
  <rowFields count="2">
    <field x="14"/>
    <field x="13"/>
  </rowFields>
  <rowItems count="8">
    <i>
      <x v="1"/>
      <x v="1"/>
    </i>
    <i r="1">
      <x v="2"/>
    </i>
    <i r="1">
      <x v="4"/>
    </i>
    <i r="1">
      <x v="5"/>
    </i>
    <i r="1">
      <x v="6"/>
    </i>
    <i r="1">
      <x v="7"/>
    </i>
    <i r="1">
      <x v="9"/>
    </i>
    <i r="1">
      <x v="10"/>
    </i>
  </rowItems>
  <colFields count="1">
    <field x="3"/>
  </colFields>
  <colItems count="1">
    <i>
      <x v="4"/>
    </i>
  </colItems>
  <dataFields count="1">
    <dataField name="Sum of Total Bayar" fld="12" baseField="0" baseItem="0" numFmtId="164"/>
  </dataFields>
  <formats count="18">
    <format dxfId="37">
      <pivotArea type="all" dataOnly="0" outline="0" fieldPosition="0"/>
    </format>
    <format dxfId="36">
      <pivotArea outline="0" collapsedLevelsAreSubtotals="1" fieldPosition="0"/>
    </format>
    <format dxfId="35">
      <pivotArea type="origin" dataOnly="0" labelOnly="1" outline="0" fieldPosition="0"/>
    </format>
    <format dxfId="34">
      <pivotArea field="3" type="button" dataOnly="0" labelOnly="1" outline="0" axis="axisCol" fieldPosition="0"/>
    </format>
    <format dxfId="33">
      <pivotArea field="14" type="button" dataOnly="0" labelOnly="1" outline="0" axis="axisRow" fieldPosition="0"/>
    </format>
    <format dxfId="32">
      <pivotArea field="13" type="button" dataOnly="0" labelOnly="1" outline="0" axis="axisRow" fieldPosition="1"/>
    </format>
    <format dxfId="31">
      <pivotArea dataOnly="0" labelOnly="1" outline="0" fieldPosition="0">
        <references count="1">
          <reference field="14" count="1">
            <x v="1"/>
          </reference>
        </references>
      </pivotArea>
    </format>
    <format dxfId="30">
      <pivotArea dataOnly="0" labelOnly="1" outline="0" fieldPosition="0">
        <references count="2">
          <reference field="13" count="8">
            <x v="1"/>
            <x v="2"/>
            <x v="4"/>
            <x v="5"/>
            <x v="6"/>
            <x v="7"/>
            <x v="9"/>
            <x v="10"/>
          </reference>
          <reference field="14" count="1" selected="0">
            <x v="1"/>
          </reference>
        </references>
      </pivotArea>
    </format>
    <format dxfId="29">
      <pivotArea dataOnly="0" labelOnly="1" outline="0" fieldPosition="0">
        <references count="1">
          <reference field="3" count="0"/>
        </references>
      </pivotArea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type="origin" dataOnly="0" labelOnly="1" outline="0" fieldPosition="0"/>
    </format>
    <format dxfId="25">
      <pivotArea field="3" type="button" dataOnly="0" labelOnly="1" outline="0" axis="axisCol" fieldPosition="0"/>
    </format>
    <format dxfId="24">
      <pivotArea field="14" type="button" dataOnly="0" labelOnly="1" outline="0" axis="axisRow" fieldPosition="0"/>
    </format>
    <format dxfId="23">
      <pivotArea field="13" type="button" dataOnly="0" labelOnly="1" outline="0" axis="axisRow" fieldPosition="1"/>
    </format>
    <format dxfId="22">
      <pivotArea dataOnly="0" labelOnly="1" outline="0" fieldPosition="0">
        <references count="1">
          <reference field="14" count="1">
            <x v="1"/>
          </reference>
        </references>
      </pivotArea>
    </format>
    <format dxfId="21">
      <pivotArea dataOnly="0" labelOnly="1" outline="0" fieldPosition="0">
        <references count="2">
          <reference field="13" count="8">
            <x v="1"/>
            <x v="2"/>
            <x v="4"/>
            <x v="5"/>
            <x v="6"/>
            <x v="7"/>
            <x v="9"/>
            <x v="10"/>
          </reference>
          <reference field="14" count="1" selected="0">
            <x v="1"/>
          </reference>
        </references>
      </pivotArea>
    </format>
    <format dxfId="20">
      <pivotArea dataOnly="0" labelOnly="1" outline="0" fieldPosition="0">
        <references count="1">
          <reference field="3" count="0"/>
        </references>
      </pivotArea>
    </format>
  </formats>
  <chartFormats count="15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5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4" count="1" selected="0">
            <x v="3"/>
          </reference>
        </references>
      </pivotArea>
    </chartFormat>
    <chartFormat chart="2" format="6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4" count="1" selected="0">
            <x v="3"/>
          </reference>
        </references>
      </pivotArea>
    </chartFormat>
    <chartFormat chart="2" format="7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4" count="1" selected="0">
            <x v="3"/>
          </reference>
        </references>
      </pivotArea>
    </chartFormat>
    <chartFormat chart="2" format="8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14" count="1" selected="0">
            <x v="3"/>
          </reference>
        </references>
      </pivotArea>
    </chartFormat>
    <chartFormat chart="2" format="9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14" count="1" selected="0">
            <x v="3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dateBetween" evalOrder="-1" id="2" name="Tanggal Beli">
      <autoFilter ref="A1">
        <filterColumn colId="0">
          <customFilters and="1">
            <customFilter operator="greaterThanOrEqual" val="44927"/>
            <customFilter operator="lessThanOrEqual" val="4523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978353-8B69-4453-8B91-05A2CDCF42C4}" name="TotalSales" cacheId="2" applyNumberFormats="0" applyBorderFormats="0" applyFontFormats="0" applyPatternFormats="0" applyAlignmentFormats="0" applyWidthHeightFormats="1" dataCaption="Values" updatedVersion="8" minRefreshableVersion="5" useAutoFormatting="1" rowGrandTotals="0" colGrandTotals="0" itemPrintTitles="1" createdVersion="8" indent="0" compact="0" compactData="0" multipleFieldFilters="0" chartFormat="24">
  <location ref="A4:B6" firstHeaderRow="1" firstDataRow="1" firstDataCol="1"/>
  <pivotFields count="15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5">
        <item h="1" x="4"/>
        <item h="1" x="2"/>
        <item h="1" x="0"/>
        <item h="1" x="3"/>
        <item x="1"/>
      </items>
    </pivotField>
    <pivotField compact="0" numFmtId="166" outline="0" showAll="0" defaultSubtotal="0"/>
    <pivotField axis="axisRow" compact="0" outline="0" showAll="0" defaultSubtotal="0">
      <items count="2">
        <item x="1"/>
        <item x="0"/>
      </items>
    </pivotField>
    <pivotField compact="0" numFmtId="165" outline="0" showAll="0" defaultSubtota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</items>
    </pivotField>
    <pivotField compact="0" outline="0" showAll="0" defaultSubtotal="0"/>
    <pivotField compact="0" numFmtId="166" outline="0" showAll="0" defaultSubtotal="0"/>
    <pivotField compact="0" outline="0" showAll="0" defaultSubtotal="0"/>
    <pivotField compact="0" outline="0" showAll="0" defaultSubtotal="0"/>
    <pivotField compact="0" numFmtId="167" outline="0" showAll="0" defaultSubtotal="0"/>
    <pivotField dataField="1" compact="0" numFmtId="164" outline="0" showAll="0" defaultSubtotal="0"/>
    <pivotField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ubtotalTop="0" showAll="0" defaultSubtotal="0">
      <items count="5">
        <item x="0"/>
        <item x="1"/>
        <item x="2"/>
        <item x="3"/>
        <item x="4"/>
      </items>
    </pivotField>
  </pivotFields>
  <rowFields count="1">
    <field x="5"/>
  </rowFields>
  <rowItems count="2">
    <i>
      <x/>
    </i>
    <i>
      <x v="1"/>
    </i>
  </rowItems>
  <colItems count="1">
    <i/>
  </colItems>
  <dataFields count="1">
    <dataField name="Sum of Total Bayar" fld="12" baseField="0" baseItem="0" numFmtId="164"/>
  </dataFields>
  <formats count="10"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5" type="button" dataOnly="0" labelOnly="1" outline="0" axis="axisRow" fieldPosition="0"/>
    </format>
    <format dxfId="16">
      <pivotArea dataOnly="0" labelOnly="1" outline="0" fieldPosition="0">
        <references count="1">
          <reference field="5" count="0"/>
        </references>
      </pivotArea>
    </format>
    <format dxfId="15">
      <pivotArea dataOnly="0" labelOnly="1" outline="0" axis="axisValues" fieldPosition="0"/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5" type="button" dataOnly="0" labelOnly="1" outline="0" axis="axisRow" fieldPosition="0"/>
    </format>
    <format dxfId="11">
      <pivotArea dataOnly="0" labelOnly="1" outline="0" fieldPosition="0">
        <references count="1">
          <reference field="5" count="0"/>
        </references>
      </pivotArea>
    </format>
    <format dxfId="10">
      <pivotArea dataOnly="0" labelOnly="1" outline="0" axis="axisValues" fieldPosition="0"/>
    </format>
  </formats>
  <chartFormats count="6"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dateBetween" evalOrder="-1" id="6" name="Tanggal Beli">
      <autoFilter ref="A1">
        <filterColumn colId="0">
          <customFilters and="1">
            <customFilter operator="greaterThanOrEqual" val="44927"/>
            <customFilter operator="lessThanOrEqual" val="4507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655172-922F-409D-8613-AE99D13BEA89}" name="TotalSales" cacheId="2" applyNumberFormats="0" applyBorderFormats="0" applyFontFormats="0" applyPatternFormats="0" applyAlignmentFormats="0" applyWidthHeightFormats="1" dataCaption="Values" updatedVersion="8" minRefreshableVersion="5" useAutoFormatting="1" rowGrandTotals="0" colGrandTotals="0" itemPrintTitles="1" createdVersion="8" indent="0" compact="0" compactData="0" multipleFieldFilters="0" chartFormat="27">
  <location ref="A4:B9" firstHeaderRow="1" firstDataRow="1" firstDataCol="1"/>
  <pivotFields count="15">
    <pivotField compact="0" outline="0" showAll="0" defaultSubtotal="0"/>
    <pivotField axis="axisRow" compact="0" outline="0" showAll="0" measureFilter="1" defaultSubtotal="0">
      <items count="25">
        <item x="6"/>
        <item x="2"/>
        <item x="0"/>
        <item x="3"/>
        <item x="8"/>
        <item x="4"/>
        <item x="9"/>
        <item x="10"/>
        <item x="11"/>
        <item x="12"/>
        <item x="13"/>
        <item x="14"/>
        <item x="15"/>
        <item x="16"/>
        <item x="17"/>
        <item x="7"/>
        <item x="18"/>
        <item x="19"/>
        <item x="20"/>
        <item x="21"/>
        <item x="5"/>
        <item x="22"/>
        <item x="1"/>
        <item x="23"/>
        <item x="24"/>
      </items>
    </pivotField>
    <pivotField compact="0" outline="0" showAll="0" defaultSubtotal="0"/>
    <pivotField compact="0" outline="0" showAll="0" defaultSubtotal="0">
      <items count="5">
        <item h="1" x="4"/>
        <item h="1" x="2"/>
        <item h="1" x="0"/>
        <item h="1" x="3"/>
        <item x="1"/>
      </items>
    </pivotField>
    <pivotField compact="0" numFmtId="166" outline="0" showAll="0" defaultSubtotal="0"/>
    <pivotField compact="0" outline="0" showAll="0" defaultSubtotal="0">
      <items count="2">
        <item x="1"/>
        <item x="0"/>
      </items>
    </pivotField>
    <pivotField compact="0" numFmtId="165" outline="0" showAll="0" defaultSubtota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</items>
    </pivotField>
    <pivotField compact="0" outline="0" showAll="0" defaultSubtotal="0"/>
    <pivotField compact="0" numFmtId="166" outline="0" showAll="0" defaultSubtotal="0"/>
    <pivotField compact="0" outline="0" showAll="0" defaultSubtotal="0"/>
    <pivotField compact="0" outline="0" showAll="0" defaultSubtotal="0"/>
    <pivotField compact="0" numFmtId="167" outline="0" showAll="0" defaultSubtotal="0"/>
    <pivotField dataField="1" compact="0" numFmtId="164" outline="0" showAll="0" defaultSubtotal="0"/>
    <pivotField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ubtotalTop="0" showAll="0" defaultSubtotal="0">
      <items count="5">
        <item x="0"/>
        <item x="1"/>
        <item x="2"/>
        <item x="3"/>
        <item x="4"/>
      </items>
    </pivotField>
  </pivotFields>
  <rowFields count="1">
    <field x="1"/>
  </rowFields>
  <rowItems count="5">
    <i>
      <x v="2"/>
    </i>
    <i>
      <x v="3"/>
    </i>
    <i>
      <x v="5"/>
    </i>
    <i>
      <x v="15"/>
    </i>
    <i>
      <x v="24"/>
    </i>
  </rowItems>
  <colItems count="1">
    <i/>
  </colItems>
  <dataFields count="1">
    <dataField name="Sum of Total Bayar" fld="12" baseField="0" baseItem="0" numFmtId="164"/>
  </dataFields>
  <formats count="10">
    <format dxfId="9">
      <pivotArea type="all" dataOnly="0" outline="0" fieldPosition="0"/>
    </format>
    <format dxfId="8">
      <pivotArea outline="0" collapsedLevelsAreSubtotals="1" fieldPosition="0"/>
    </format>
    <format dxfId="7">
      <pivotArea field="1" type="button" dataOnly="0" labelOnly="1" outline="0" axis="axisRow" fieldPosition="0"/>
    </format>
    <format dxfId="6">
      <pivotArea dataOnly="0" labelOnly="1" outline="0" fieldPosition="0">
        <references count="1">
          <reference field="1" count="5">
            <x v="2"/>
            <x v="3"/>
            <x v="5"/>
            <x v="15"/>
            <x v="24"/>
          </reference>
        </references>
      </pivotArea>
    </format>
    <format dxfId="5">
      <pivotArea dataOnly="0" labelOnly="1" outline="0" axis="axisValues" fieldPosition="0"/>
    </format>
    <format dxfId="4">
      <pivotArea type="all" dataOnly="0" outline="0" fieldPosition="0"/>
    </format>
    <format dxfId="3">
      <pivotArea outline="0" collapsedLevelsAreSubtotals="1" fieldPosition="0"/>
    </format>
    <format dxfId="2">
      <pivotArea field="1" type="button" dataOnly="0" labelOnly="1" outline="0" axis="axisRow" fieldPosition="0"/>
    </format>
    <format dxfId="1">
      <pivotArea dataOnly="0" labelOnly="1" outline="0" fieldPosition="0">
        <references count="1">
          <reference field="1" count="5">
            <x v="2"/>
            <x v="3"/>
            <x v="5"/>
            <x v="15"/>
            <x v="24"/>
          </reference>
        </references>
      </pivotArea>
    </format>
    <format dxfId="0">
      <pivotArea dataOnly="0" labelOnly="1" outline="0" axis="axisValues" fieldPosition="0"/>
    </format>
  </formats>
  <chartFormats count="8"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6" type="dateBetween" evalOrder="-1" id="6" name="Tanggal Beli">
      <autoFilter ref="A1">
        <filterColumn colId="0">
          <customFilters and="1">
            <customFilter operator="greaterThanOrEqual" val="44927"/>
            <customFilter operator="lessThanOrEqual" val="4507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1" type="count" evalOrder="-1" id="7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205214-59C9-4B84-A301-56D8D88DA48B}" name="Table1" displayName="Table1" ref="A3:M103" totalsRowShown="0" headerRowDxfId="130" dataDxfId="129">
  <autoFilter ref="A3:M103" xr:uid="{B8205214-59C9-4B84-A301-56D8D88DA48B}"/>
  <sortState xmlns:xlrd2="http://schemas.microsoft.com/office/spreadsheetml/2017/richdata2" ref="A4:M103">
    <sortCondition ref="G3:G103"/>
  </sortState>
  <tableColumns count="13">
    <tableColumn id="1" xr3:uid="{7C449A2D-F9C7-4363-AA20-D6E75A0D8808}" name="ID" dataDxfId="128"/>
    <tableColumn id="2" xr3:uid="{B34B6B5E-2133-45FB-96EB-1FCA439E774C}" name="Nama Kasir" dataDxfId="127">
      <calculatedColumnFormula>PROPER(_xlfn.XLOOKUP(Table1[[#This Row],[ID]],'Data Mentah'!$A$2:$A$101,'Data Mentah'!$B$2:$B$101,"",0))</calculatedColumnFormula>
    </tableColumn>
    <tableColumn id="3" xr3:uid="{422C3EA9-8011-425F-A47C-EF082438B49C}" name="Kode Produk" dataDxfId="126">
      <calculatedColumnFormula>_xlfn.XLOOKUP(Table1[[#This Row],[ID]],'Data Mentah'!$A$2:$A$101,'Data Mentah'!$C$2:$C$101,"",0)</calculatedColumnFormula>
    </tableColumn>
    <tableColumn id="4" xr3:uid="{84E0F376-D0AC-4432-B695-A5114D96144F}" name="Nama Produk" dataDxfId="125">
      <calculatedColumnFormula>VLOOKUP(Table1[[#This Row],[Kode Produk]],'Tabel Referensi'!$A$2:$B$6,2,FALSE)</calculatedColumnFormula>
    </tableColumn>
    <tableColumn id="5" xr3:uid="{10E94090-BF2C-4D3B-93E8-4778F03424D2}" name="Harga Satuan" dataDxfId="124">
      <calculatedColumnFormula>INDEX('Tabel Referensi'!$C$2:$C$6,MATCH(Table1[[#This Row],[Kode Produk]],'Tabel Referensi'!$A$2:$A$6,0))</calculatedColumnFormula>
    </tableColumn>
    <tableColumn id="6" xr3:uid="{862A05CF-7D6C-4ECE-90DE-16B6A5520930}" name="Kategori" dataDxfId="123">
      <calculatedColumnFormula>INDEX('Tabel Referensi'!$D$2:$D$6,MATCH(Table1[[#This Row],[Kode Produk]],'Tabel Referensi'!$A$2:$A$6,0))</calculatedColumnFormula>
    </tableColumn>
    <tableColumn id="7" xr3:uid="{DEA8168C-1CF5-4049-9FB1-D2FFD308176B}" name="Tanggal Beli" dataDxfId="122">
      <calculatedColumnFormula>_xlfn.XLOOKUP(Table1[[#This Row],[ID]],'Data Mentah'!$A$1:$A$101,'Data Mentah'!$D$1:$D$101,"",0)</calculatedColumnFormula>
    </tableColumn>
    <tableColumn id="8" xr3:uid="{194B557F-2785-46DE-BF84-F99920848F1D}" name="Quantity" dataDxfId="121">
      <calculatedColumnFormula>_xlfn.XLOOKUP(Table1[[#This Row],[ID]],'Data Mentah'!$A$1:$A$101,'Data Mentah'!$E$1:$E$101,"",0)</calculatedColumnFormula>
    </tableColumn>
    <tableColumn id="11" xr3:uid="{FDEAB102-60F9-4B83-81F2-1D50AAC05351}" name="Total Harga" dataDxfId="120">
      <calculatedColumnFormula>Table1[[#This Row],[Harga Satuan]]*Table1[[#This Row],[Quantity]]</calculatedColumnFormula>
    </tableColumn>
    <tableColumn id="9" xr3:uid="{15389E45-D6EB-4FE0-A18A-5B93E8A6008D}" name="Member" dataDxfId="119">
      <calculatedColumnFormula>INDEX('Data Mentah'!$F$2:$F$101,MATCH(Table1[[#This Row],[ID]],'Data Mentah'!$A$2:$A$101,0))</calculatedColumnFormula>
    </tableColumn>
    <tableColumn id="12" xr3:uid="{617BC34C-2DA7-4A91-BBDD-058E6758C70C}" name="Status Diskon" dataDxfId="118">
      <calculatedColumnFormula>IF(AND(Table1[[#This Row],[Member]]="Ya",Table1[[#This Row],[Total Harga]]&gt;=1000000),"10%","0%")</calculatedColumnFormula>
    </tableColumn>
    <tableColumn id="13" xr3:uid="{FA9D6803-9F08-4A9A-82B7-F358B4C99042}" name="Nominal Diskon" dataDxfId="117" dataCellStyle="Currency">
      <calculatedColumnFormula>Table1[[#This Row],[Total Harga]]*Table1[[#This Row],[Status Diskon]]</calculatedColumnFormula>
    </tableColumn>
    <tableColumn id="14" xr3:uid="{12E574FC-A171-4715-A00A-DD8FCA5093B2}" name="Total Bayar" dataDxfId="116">
      <calculatedColumnFormula>Table1[[#This Row],[Total Harga]]-Table1[[#This Row],[Nominal Diskon]]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Tanggal_Beli" xr10:uid="{A7CD752B-BFF4-4654-92D7-C9C3A2228EA5}" sourceName="Tanggal Beli">
  <pivotTables>
    <pivotTable tabId="5" name="TotalSales"/>
  </pivotTables>
  <state minimalRefreshVersion="6" lastRefreshVersion="6" pivotCacheId="1944501996" filterType="dateBetween">
    <selection startDate="2023-03-01T00:00:00" endDate="2023-05-31T00:00:00"/>
    <bounds startDate="2023-01-01T00:00:00" endDate="2026-01-01T00:00:00"/>
  </state>
</timelineCacheDefinition>
</file>

<file path=xl/timelineCaches/timelineCache2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Tanggal_Beli1" xr10:uid="{E1874C40-FD48-432C-B86F-09903856A114}" sourceName="Tanggal Beli">
  <pivotTables>
    <pivotTable tabId="6" name="TotalSales"/>
  </pivotTables>
  <state minimalRefreshVersion="6" lastRefreshVersion="6" pivotCacheId="1944501996" filterType="unknown">
    <bounds startDate="2023-01-01T00:00:00" endDate="2026-01-01T00:00:00"/>
  </state>
</timelineCacheDefinition>
</file>

<file path=xl/timelineCaches/timelineCache3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Tanggal_Beli2" xr10:uid="{A6BFE040-A6B8-496D-BEEE-9541E7A7D49B}" sourceName="Tanggal Beli">
  <pivotTables>
    <pivotTable tabId="8" name="TotalSales"/>
  </pivotTables>
  <state minimalRefreshVersion="6" lastRefreshVersion="6" pivotCacheId="1944501996" filterType="dateBetween">
    <selection startDate="2023-01-01T00:00:00" endDate="2023-09-30T00:00:00"/>
    <bounds startDate="2023-01-01T00:00:00" endDate="2026-01-01T00:00:00"/>
  </state>
</timelineCacheDefinition>
</file>

<file path=xl/timelineCaches/timelineCache4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Tanggal_Beli3" xr10:uid="{CD9B0759-04B1-463D-9450-337750503C1B}" sourceName="Tanggal Beli">
  <pivotTables>
    <pivotTable tabId="7" name="TotalSales"/>
  </pivotTables>
  <state minimalRefreshVersion="6" lastRefreshVersion="6" pivotCacheId="1944501996" filterType="dateBetween">
    <selection startDate="2023-02-01T00:00:00" endDate="2024-01-31T00:00:00"/>
    <bounds startDate="2023-01-01T00:00:00" endDate="2026-01-01T00:00:00"/>
  </state>
</timelineCacheDefinition>
</file>

<file path=xl/timelineCaches/timelineCache5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Tanggal_Beli4" xr10:uid="{D8D2878B-006B-4246-AF6D-642449CE6050}" sourceName="Tanggal Beli">
  <pivotTables>
    <pivotTable tabId="9" name="TotalSales"/>
  </pivotTables>
  <state minimalRefreshVersion="6" lastRefreshVersion="6" pivotCacheId="1944501996" filterType="dateBetween">
    <selection startDate="2023-01-01T00:00:00" endDate="2023-10-31T00:00:00"/>
    <bounds startDate="2023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Tanggal Beli" xr10:uid="{5E266428-6C6C-4604-B588-170EF154EFAF}" cache="NativeTimeline_Tanggal_Beli" caption="Tanggal Beli" level="2" selectionLevel="2" scrollPosition="2023-01-01T00:00:00" style="Total Sales Timeline Style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Tanggal Beli 1" xr10:uid="{3980BF89-B2A7-4ECA-A093-45D230AE2626}" cache="NativeTimeline_Tanggal_Beli1" caption="Tanggal Beli" level="2" selectionLevel="2" scrollPosition="2025-06-07T00:00:00" style="Total Sales Timeline Style"/>
</timelines>
</file>

<file path=xl/timelines/timeline3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Tanggal Beli 2" xr10:uid="{C7B81489-B6D5-4479-B7F6-68FF682921E5}" cache="NativeTimeline_Tanggal_Beli2" caption="Tanggal Beli" level="2" selectionLevel="1" scrollPosition="2023-01-01T00:00:00" style="Total Sales Timeline Style"/>
</timelines>
</file>

<file path=xl/timelines/timeline4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Tanggal Beli 3" xr10:uid="{3D446A4B-23E2-41A7-BF40-79BE1B3EF0B4}" cache="NativeTimeline_Tanggal_Beli3" caption="Tanggal Beli" level="2" selectionLevel="2" scrollPosition="2023-01-01T00:00:00" style="Total Sales Timeline Style"/>
</timelines>
</file>

<file path=xl/timelines/timeline5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Tanggal Beli 4" xr10:uid="{B137C0E0-6969-4F8A-B1C1-E03B5C75C4D7}" cache="NativeTimeline_Tanggal_Beli4" caption="Tanggal Beli" level="2" selectionLevel="2" scrollPosition="2023-01-01T00:00:00" style="Total Sales Timeline Style"/>
</timeline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1/relationships/timeline" Target="../timelines/timeline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1/relationships/timeline" Target="../timelines/timeline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1/relationships/timeline" Target="../timelines/timeline4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1/relationships/timeline" Target="../timelines/timeline5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41865-D397-4727-9401-E5FEA0AD9A13}">
  <dimension ref="A1:F101"/>
  <sheetViews>
    <sheetView workbookViewId="0">
      <selection activeCell="H67" sqref="H67"/>
    </sheetView>
  </sheetViews>
  <sheetFormatPr defaultRowHeight="15" x14ac:dyDescent="0.25"/>
  <cols>
    <col min="1" max="1" width="9.85546875" bestFit="1" customWidth="1"/>
    <col min="2" max="2" width="23.7109375" bestFit="1" customWidth="1"/>
    <col min="3" max="4" width="14.85546875" bestFit="1" customWidth="1"/>
    <col min="5" max="5" width="5.85546875" bestFit="1" customWidth="1"/>
    <col min="6" max="6" width="10.7109375" bestFit="1" customWidth="1"/>
  </cols>
  <sheetData>
    <row r="1" spans="1:6" ht="20.25" thickBo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ht="20.25" thickBot="1" x14ac:dyDescent="0.3">
      <c r="A2" s="7" t="s">
        <v>6</v>
      </c>
      <c r="B2" s="7" t="s">
        <v>7</v>
      </c>
      <c r="C2" s="7" t="s">
        <v>8</v>
      </c>
      <c r="D2" s="8">
        <v>44938</v>
      </c>
      <c r="E2" s="7">
        <v>2</v>
      </c>
      <c r="F2" s="7" t="s">
        <v>9</v>
      </c>
    </row>
    <row r="3" spans="1:6" ht="20.25" thickBot="1" x14ac:dyDescent="0.3">
      <c r="A3" s="7" t="s">
        <v>10</v>
      </c>
      <c r="B3" s="7" t="s">
        <v>11</v>
      </c>
      <c r="C3" s="7" t="s">
        <v>12</v>
      </c>
      <c r="D3" s="9">
        <v>44972</v>
      </c>
      <c r="E3" s="7">
        <v>1</v>
      </c>
      <c r="F3" s="7" t="s">
        <v>13</v>
      </c>
    </row>
    <row r="4" spans="1:6" ht="20.25" thickBot="1" x14ac:dyDescent="0.3">
      <c r="A4" s="7" t="s">
        <v>14</v>
      </c>
      <c r="B4" s="7" t="s">
        <v>15</v>
      </c>
      <c r="C4" s="7" t="s">
        <v>16</v>
      </c>
      <c r="D4" s="8">
        <v>44995</v>
      </c>
      <c r="E4" s="7">
        <v>3</v>
      </c>
      <c r="F4" s="7" t="s">
        <v>9</v>
      </c>
    </row>
    <row r="5" spans="1:6" ht="20.25" thickBot="1" x14ac:dyDescent="0.3">
      <c r="A5" s="7" t="s">
        <v>17</v>
      </c>
      <c r="B5" s="7" t="s">
        <v>18</v>
      </c>
      <c r="C5" s="7" t="s">
        <v>8</v>
      </c>
      <c r="D5" s="9">
        <v>45021</v>
      </c>
      <c r="E5" s="7">
        <v>1</v>
      </c>
      <c r="F5" s="7" t="s">
        <v>13</v>
      </c>
    </row>
    <row r="6" spans="1:6" ht="20.25" thickBot="1" x14ac:dyDescent="0.3">
      <c r="A6" s="7" t="s">
        <v>19</v>
      </c>
      <c r="B6" s="7" t="s">
        <v>20</v>
      </c>
      <c r="C6" s="7" t="s">
        <v>21</v>
      </c>
      <c r="D6" s="8">
        <v>45058</v>
      </c>
      <c r="E6" s="7">
        <v>2</v>
      </c>
      <c r="F6" s="7" t="s">
        <v>9</v>
      </c>
    </row>
    <row r="7" spans="1:6" ht="20.25" thickBot="1" x14ac:dyDescent="0.3">
      <c r="A7" s="7" t="s">
        <v>22</v>
      </c>
      <c r="B7" s="7" t="s">
        <v>23</v>
      </c>
      <c r="C7" s="7" t="s">
        <v>24</v>
      </c>
      <c r="D7" s="9">
        <v>45097</v>
      </c>
      <c r="E7" s="7">
        <v>5</v>
      </c>
      <c r="F7" s="7" t="s">
        <v>13</v>
      </c>
    </row>
    <row r="8" spans="1:6" ht="20.25" thickBot="1" x14ac:dyDescent="0.3">
      <c r="A8" s="7" t="s">
        <v>25</v>
      </c>
      <c r="B8" s="7" t="s">
        <v>26</v>
      </c>
      <c r="C8" s="7" t="s">
        <v>12</v>
      </c>
      <c r="D8" s="8">
        <v>45129</v>
      </c>
      <c r="E8" s="7">
        <v>10</v>
      </c>
      <c r="F8" s="7" t="s">
        <v>9</v>
      </c>
    </row>
    <row r="9" spans="1:6" ht="20.25" thickBot="1" x14ac:dyDescent="0.3">
      <c r="A9" s="7" t="s">
        <v>27</v>
      </c>
      <c r="B9" s="7" t="s">
        <v>28</v>
      </c>
      <c r="C9" s="7" t="s">
        <v>16</v>
      </c>
      <c r="D9" s="9">
        <v>45146</v>
      </c>
      <c r="E9" s="7">
        <v>2</v>
      </c>
      <c r="F9" s="7" t="s">
        <v>13</v>
      </c>
    </row>
    <row r="10" spans="1:6" ht="20.25" thickBot="1" x14ac:dyDescent="0.3">
      <c r="A10" s="7" t="s">
        <v>29</v>
      </c>
      <c r="B10" s="7" t="s">
        <v>30</v>
      </c>
      <c r="C10" s="7" t="s">
        <v>21</v>
      </c>
      <c r="D10" s="8">
        <v>45183</v>
      </c>
      <c r="E10" s="7">
        <v>1</v>
      </c>
      <c r="F10" s="7" t="s">
        <v>9</v>
      </c>
    </row>
    <row r="11" spans="1:6" ht="20.25" thickBot="1" x14ac:dyDescent="0.3">
      <c r="A11" s="7" t="s">
        <v>31</v>
      </c>
      <c r="B11" s="7" t="s">
        <v>32</v>
      </c>
      <c r="C11" s="7" t="s">
        <v>24</v>
      </c>
      <c r="D11" s="9">
        <v>45200</v>
      </c>
      <c r="E11" s="7">
        <v>3</v>
      </c>
      <c r="F11" s="7" t="s">
        <v>13</v>
      </c>
    </row>
    <row r="12" spans="1:6" ht="20.25" thickBot="1" x14ac:dyDescent="0.3">
      <c r="A12" s="7" t="s">
        <v>33</v>
      </c>
      <c r="B12" s="7" t="s">
        <v>34</v>
      </c>
      <c r="C12" s="7" t="s">
        <v>8</v>
      </c>
      <c r="D12" s="8">
        <v>45241</v>
      </c>
      <c r="E12" s="7">
        <v>1</v>
      </c>
      <c r="F12" s="7" t="s">
        <v>9</v>
      </c>
    </row>
    <row r="13" spans="1:6" ht="20.25" thickBot="1" x14ac:dyDescent="0.3">
      <c r="A13" s="7" t="s">
        <v>35</v>
      </c>
      <c r="B13" s="7" t="s">
        <v>36</v>
      </c>
      <c r="C13" s="7" t="s">
        <v>12</v>
      </c>
      <c r="D13" s="9">
        <v>45285</v>
      </c>
      <c r="E13" s="7">
        <v>4</v>
      </c>
      <c r="F13" s="7" t="s">
        <v>13</v>
      </c>
    </row>
    <row r="14" spans="1:6" ht="20.25" thickBot="1" x14ac:dyDescent="0.3">
      <c r="A14" s="7" t="s">
        <v>37</v>
      </c>
      <c r="B14" s="7" t="s">
        <v>38</v>
      </c>
      <c r="C14" s="7" t="s">
        <v>16</v>
      </c>
      <c r="D14" s="8">
        <v>45301</v>
      </c>
      <c r="E14" s="7">
        <v>2</v>
      </c>
      <c r="F14" s="7" t="s">
        <v>9</v>
      </c>
    </row>
    <row r="15" spans="1:6" ht="20.25" thickBot="1" x14ac:dyDescent="0.3">
      <c r="A15" s="7" t="s">
        <v>39</v>
      </c>
      <c r="B15" s="7" t="s">
        <v>40</v>
      </c>
      <c r="C15" s="7" t="s">
        <v>21</v>
      </c>
      <c r="D15" s="9">
        <v>45336</v>
      </c>
      <c r="E15" s="7">
        <v>1</v>
      </c>
      <c r="F15" s="7" t="s">
        <v>13</v>
      </c>
    </row>
    <row r="16" spans="1:6" ht="20.25" thickBot="1" x14ac:dyDescent="0.3">
      <c r="A16" s="7" t="s">
        <v>41</v>
      </c>
      <c r="B16" s="7" t="s">
        <v>42</v>
      </c>
      <c r="C16" s="7" t="s">
        <v>24</v>
      </c>
      <c r="D16" s="8">
        <v>45356</v>
      </c>
      <c r="E16" s="7">
        <v>8</v>
      </c>
      <c r="F16" s="7" t="s">
        <v>9</v>
      </c>
    </row>
    <row r="17" spans="1:6" ht="20.25" thickBot="1" x14ac:dyDescent="0.3">
      <c r="A17" s="7" t="s">
        <v>43</v>
      </c>
      <c r="B17" s="7" t="s">
        <v>44</v>
      </c>
      <c r="C17" s="7" t="s">
        <v>8</v>
      </c>
      <c r="D17" s="9">
        <v>45400</v>
      </c>
      <c r="E17" s="7">
        <v>1</v>
      </c>
      <c r="F17" s="7" t="s">
        <v>13</v>
      </c>
    </row>
    <row r="18" spans="1:6" ht="20.25" thickBot="1" x14ac:dyDescent="0.3">
      <c r="A18" s="7" t="s">
        <v>45</v>
      </c>
      <c r="B18" s="7" t="s">
        <v>46</v>
      </c>
      <c r="C18" s="7" t="s">
        <v>12</v>
      </c>
      <c r="D18" s="8">
        <v>45434</v>
      </c>
      <c r="E18" s="7">
        <v>2</v>
      </c>
      <c r="F18" s="7" t="s">
        <v>9</v>
      </c>
    </row>
    <row r="19" spans="1:6" ht="20.25" thickBot="1" x14ac:dyDescent="0.3">
      <c r="A19" s="7" t="s">
        <v>47</v>
      </c>
      <c r="B19" s="7" t="s">
        <v>48</v>
      </c>
      <c r="C19" s="7" t="s">
        <v>16</v>
      </c>
      <c r="D19" s="9">
        <v>45450</v>
      </c>
      <c r="E19" s="7">
        <v>1</v>
      </c>
      <c r="F19" s="7" t="s">
        <v>13</v>
      </c>
    </row>
    <row r="20" spans="1:6" ht="20.25" thickBot="1" x14ac:dyDescent="0.3">
      <c r="A20" s="7" t="s">
        <v>49</v>
      </c>
      <c r="B20" s="7" t="s">
        <v>50</v>
      </c>
      <c r="C20" s="7" t="s">
        <v>21</v>
      </c>
      <c r="D20" s="8">
        <v>45492</v>
      </c>
      <c r="E20" s="7">
        <v>4</v>
      </c>
      <c r="F20" s="7" t="s">
        <v>9</v>
      </c>
    </row>
    <row r="21" spans="1:6" ht="20.25" thickBot="1" x14ac:dyDescent="0.3">
      <c r="A21" s="7" t="s">
        <v>51</v>
      </c>
      <c r="B21" s="7" t="s">
        <v>52</v>
      </c>
      <c r="C21" s="7" t="s">
        <v>24</v>
      </c>
      <c r="D21" s="9">
        <v>45534</v>
      </c>
      <c r="E21" s="7">
        <v>2</v>
      </c>
      <c r="F21" s="7" t="s">
        <v>13</v>
      </c>
    </row>
    <row r="22" spans="1:6" ht="20.25" thickBot="1" x14ac:dyDescent="0.3">
      <c r="A22" s="7" t="s">
        <v>53</v>
      </c>
      <c r="B22" s="7" t="s">
        <v>54</v>
      </c>
      <c r="C22" s="7" t="s">
        <v>8</v>
      </c>
      <c r="D22" s="8">
        <v>45547</v>
      </c>
      <c r="E22" s="7">
        <v>1</v>
      </c>
      <c r="F22" s="7" t="s">
        <v>9</v>
      </c>
    </row>
    <row r="23" spans="1:6" ht="20.25" thickBot="1" x14ac:dyDescent="0.3">
      <c r="A23" s="7" t="s">
        <v>55</v>
      </c>
      <c r="B23" s="7" t="s">
        <v>56</v>
      </c>
      <c r="C23" s="7" t="s">
        <v>12</v>
      </c>
      <c r="D23" s="9">
        <v>45590</v>
      </c>
      <c r="E23" s="7">
        <v>5</v>
      </c>
      <c r="F23" s="7" t="s">
        <v>13</v>
      </c>
    </row>
    <row r="24" spans="1:6" ht="20.25" thickBot="1" x14ac:dyDescent="0.3">
      <c r="A24" s="7" t="s">
        <v>57</v>
      </c>
      <c r="B24" s="7" t="s">
        <v>58</v>
      </c>
      <c r="C24" s="7" t="s">
        <v>16</v>
      </c>
      <c r="D24" s="8">
        <v>45598</v>
      </c>
      <c r="E24" s="7">
        <v>3</v>
      </c>
      <c r="F24" s="7" t="s">
        <v>9</v>
      </c>
    </row>
    <row r="25" spans="1:6" ht="20.25" thickBot="1" x14ac:dyDescent="0.3">
      <c r="A25" s="7" t="s">
        <v>59</v>
      </c>
      <c r="B25" s="7" t="s">
        <v>60</v>
      </c>
      <c r="C25" s="7" t="s">
        <v>21</v>
      </c>
      <c r="D25" s="9">
        <v>45638</v>
      </c>
      <c r="E25" s="7">
        <v>1</v>
      </c>
      <c r="F25" s="7" t="s">
        <v>13</v>
      </c>
    </row>
    <row r="26" spans="1:6" ht="20.25" thickBot="1" x14ac:dyDescent="0.3">
      <c r="A26" s="7" t="s">
        <v>61</v>
      </c>
      <c r="B26" s="7" t="s">
        <v>62</v>
      </c>
      <c r="C26" s="7" t="s">
        <v>24</v>
      </c>
      <c r="D26" s="8">
        <v>45662</v>
      </c>
      <c r="E26" s="7">
        <v>10</v>
      </c>
      <c r="F26" s="7" t="s">
        <v>9</v>
      </c>
    </row>
    <row r="27" spans="1:6" ht="20.25" thickBot="1" x14ac:dyDescent="0.3">
      <c r="A27" s="7" t="s">
        <v>63</v>
      </c>
      <c r="B27" s="7" t="s">
        <v>7</v>
      </c>
      <c r="C27" s="7" t="s">
        <v>12</v>
      </c>
      <c r="D27" s="8">
        <v>44941</v>
      </c>
      <c r="E27" s="7">
        <v>1</v>
      </c>
      <c r="F27" s="7" t="s">
        <v>9</v>
      </c>
    </row>
    <row r="28" spans="1:6" ht="20.25" thickBot="1" x14ac:dyDescent="0.3">
      <c r="A28" s="7" t="s">
        <v>64</v>
      </c>
      <c r="B28" s="7" t="s">
        <v>11</v>
      </c>
      <c r="C28" s="7" t="s">
        <v>16</v>
      </c>
      <c r="D28" s="9">
        <v>44975</v>
      </c>
      <c r="E28" s="7">
        <v>2</v>
      </c>
      <c r="F28" s="7" t="s">
        <v>13</v>
      </c>
    </row>
    <row r="29" spans="1:6" ht="20.25" thickBot="1" x14ac:dyDescent="0.3">
      <c r="A29" s="7" t="s">
        <v>65</v>
      </c>
      <c r="B29" s="7" t="s">
        <v>15</v>
      </c>
      <c r="C29" s="7" t="s">
        <v>21</v>
      </c>
      <c r="D29" s="8">
        <v>44997</v>
      </c>
      <c r="E29" s="7">
        <v>1</v>
      </c>
      <c r="F29" s="7" t="s">
        <v>9</v>
      </c>
    </row>
    <row r="30" spans="1:6" ht="20.25" thickBot="1" x14ac:dyDescent="0.3">
      <c r="A30" s="7" t="s">
        <v>66</v>
      </c>
      <c r="B30" s="7" t="s">
        <v>18</v>
      </c>
      <c r="C30" s="7" t="s">
        <v>24</v>
      </c>
      <c r="D30" s="9">
        <v>45024</v>
      </c>
      <c r="E30" s="7">
        <v>4</v>
      </c>
      <c r="F30" s="7" t="s">
        <v>13</v>
      </c>
    </row>
    <row r="31" spans="1:6" ht="20.25" thickBot="1" x14ac:dyDescent="0.3">
      <c r="A31" s="7" t="s">
        <v>67</v>
      </c>
      <c r="B31" s="7" t="s">
        <v>20</v>
      </c>
      <c r="C31" s="7" t="s">
        <v>8</v>
      </c>
      <c r="D31" s="8">
        <v>45061</v>
      </c>
      <c r="E31" s="7">
        <v>2</v>
      </c>
      <c r="F31" s="7" t="s">
        <v>9</v>
      </c>
    </row>
    <row r="32" spans="1:6" ht="20.25" thickBot="1" x14ac:dyDescent="0.3">
      <c r="A32" s="7" t="s">
        <v>68</v>
      </c>
      <c r="B32" s="7" t="s">
        <v>23</v>
      </c>
      <c r="C32" s="7" t="s">
        <v>12</v>
      </c>
      <c r="D32" s="9">
        <v>45099</v>
      </c>
      <c r="E32" s="7">
        <v>3</v>
      </c>
      <c r="F32" s="7" t="s">
        <v>13</v>
      </c>
    </row>
    <row r="33" spans="1:6" ht="20.25" thickBot="1" x14ac:dyDescent="0.3">
      <c r="A33" s="7" t="s">
        <v>69</v>
      </c>
      <c r="B33" s="7" t="s">
        <v>26</v>
      </c>
      <c r="C33" s="7" t="s">
        <v>16</v>
      </c>
      <c r="D33" s="8">
        <v>45132</v>
      </c>
      <c r="E33" s="7">
        <v>1</v>
      </c>
      <c r="F33" s="7" t="s">
        <v>9</v>
      </c>
    </row>
    <row r="34" spans="1:6" ht="20.25" thickBot="1" x14ac:dyDescent="0.3">
      <c r="A34" s="7" t="s">
        <v>70</v>
      </c>
      <c r="B34" s="7" t="s">
        <v>28</v>
      </c>
      <c r="C34" s="7" t="s">
        <v>21</v>
      </c>
      <c r="D34" s="9">
        <v>45148</v>
      </c>
      <c r="E34" s="7">
        <v>2</v>
      </c>
      <c r="F34" s="7" t="s">
        <v>13</v>
      </c>
    </row>
    <row r="35" spans="1:6" ht="20.25" thickBot="1" x14ac:dyDescent="0.3">
      <c r="A35" s="7" t="s">
        <v>71</v>
      </c>
      <c r="B35" s="7" t="s">
        <v>30</v>
      </c>
      <c r="C35" s="7" t="s">
        <v>24</v>
      </c>
      <c r="D35" s="8">
        <v>45185</v>
      </c>
      <c r="E35" s="7">
        <v>5</v>
      </c>
      <c r="F35" s="7" t="s">
        <v>9</v>
      </c>
    </row>
    <row r="36" spans="1:6" ht="20.25" thickBot="1" x14ac:dyDescent="0.3">
      <c r="A36" s="7" t="s">
        <v>72</v>
      </c>
      <c r="B36" s="7" t="s">
        <v>32</v>
      </c>
      <c r="C36" s="7" t="s">
        <v>8</v>
      </c>
      <c r="D36" s="9">
        <v>45204</v>
      </c>
      <c r="E36" s="7">
        <v>1</v>
      </c>
      <c r="F36" s="7" t="s">
        <v>13</v>
      </c>
    </row>
    <row r="37" spans="1:6" ht="20.25" thickBot="1" x14ac:dyDescent="0.3">
      <c r="A37" s="7" t="s">
        <v>73</v>
      </c>
      <c r="B37" s="7" t="s">
        <v>34</v>
      </c>
      <c r="C37" s="7" t="s">
        <v>12</v>
      </c>
      <c r="D37" s="8">
        <v>45245</v>
      </c>
      <c r="E37" s="7">
        <v>2</v>
      </c>
      <c r="F37" s="7" t="s">
        <v>9</v>
      </c>
    </row>
    <row r="38" spans="1:6" ht="20.25" thickBot="1" x14ac:dyDescent="0.3">
      <c r="A38" s="7" t="s">
        <v>74</v>
      </c>
      <c r="B38" s="7" t="s">
        <v>36</v>
      </c>
      <c r="C38" s="7" t="s">
        <v>16</v>
      </c>
      <c r="D38" s="9">
        <v>45288</v>
      </c>
      <c r="E38" s="7">
        <v>1</v>
      </c>
      <c r="F38" s="7" t="s">
        <v>13</v>
      </c>
    </row>
    <row r="39" spans="1:6" ht="20.25" thickBot="1" x14ac:dyDescent="0.3">
      <c r="A39" s="7" t="s">
        <v>75</v>
      </c>
      <c r="B39" s="7" t="s">
        <v>38</v>
      </c>
      <c r="C39" s="7" t="s">
        <v>21</v>
      </c>
      <c r="D39" s="8">
        <v>45303</v>
      </c>
      <c r="E39" s="7">
        <v>3</v>
      </c>
      <c r="F39" s="7" t="s">
        <v>9</v>
      </c>
    </row>
    <row r="40" spans="1:6" ht="20.25" thickBot="1" x14ac:dyDescent="0.3">
      <c r="A40" s="7" t="s">
        <v>76</v>
      </c>
      <c r="B40" s="7" t="s">
        <v>40</v>
      </c>
      <c r="C40" s="7" t="s">
        <v>24</v>
      </c>
      <c r="D40" s="9">
        <v>45340</v>
      </c>
      <c r="E40" s="7">
        <v>2</v>
      </c>
      <c r="F40" s="7" t="s">
        <v>13</v>
      </c>
    </row>
    <row r="41" spans="1:6" ht="20.25" thickBot="1" x14ac:dyDescent="0.3">
      <c r="A41" s="7" t="s">
        <v>77</v>
      </c>
      <c r="B41" s="7" t="s">
        <v>42</v>
      </c>
      <c r="C41" s="7" t="s">
        <v>8</v>
      </c>
      <c r="D41" s="8">
        <v>45359</v>
      </c>
      <c r="E41" s="7">
        <v>1</v>
      </c>
      <c r="F41" s="7" t="s">
        <v>9</v>
      </c>
    </row>
    <row r="42" spans="1:6" ht="20.25" thickBot="1" x14ac:dyDescent="0.3">
      <c r="A42" s="7" t="s">
        <v>78</v>
      </c>
      <c r="B42" s="7" t="s">
        <v>44</v>
      </c>
      <c r="C42" s="7" t="s">
        <v>12</v>
      </c>
      <c r="D42" s="9">
        <v>45402</v>
      </c>
      <c r="E42" s="7">
        <v>4</v>
      </c>
      <c r="F42" s="7" t="s">
        <v>13</v>
      </c>
    </row>
    <row r="43" spans="1:6" ht="20.25" thickBot="1" x14ac:dyDescent="0.3">
      <c r="A43" s="7" t="s">
        <v>79</v>
      </c>
      <c r="B43" s="7" t="s">
        <v>46</v>
      </c>
      <c r="C43" s="7" t="s">
        <v>16</v>
      </c>
      <c r="D43" s="8">
        <v>45437</v>
      </c>
      <c r="E43" s="7">
        <v>1</v>
      </c>
      <c r="F43" s="7" t="s">
        <v>9</v>
      </c>
    </row>
    <row r="44" spans="1:6" ht="20.25" thickBot="1" x14ac:dyDescent="0.3">
      <c r="A44" s="7" t="s">
        <v>80</v>
      </c>
      <c r="B44" s="7" t="s">
        <v>48</v>
      </c>
      <c r="C44" s="7" t="s">
        <v>21</v>
      </c>
      <c r="D44" s="9">
        <v>45453</v>
      </c>
      <c r="E44" s="7">
        <v>2</v>
      </c>
      <c r="F44" s="7" t="s">
        <v>13</v>
      </c>
    </row>
    <row r="45" spans="1:6" ht="20.25" thickBot="1" x14ac:dyDescent="0.3">
      <c r="A45" s="7" t="s">
        <v>81</v>
      </c>
      <c r="B45" s="7" t="s">
        <v>50</v>
      </c>
      <c r="C45" s="7" t="s">
        <v>24</v>
      </c>
      <c r="D45" s="8">
        <v>45495</v>
      </c>
      <c r="E45" s="7">
        <v>3</v>
      </c>
      <c r="F45" s="7" t="s">
        <v>9</v>
      </c>
    </row>
    <row r="46" spans="1:6" ht="20.25" thickBot="1" x14ac:dyDescent="0.3">
      <c r="A46" s="7" t="s">
        <v>82</v>
      </c>
      <c r="B46" s="7" t="s">
        <v>52</v>
      </c>
      <c r="C46" s="7" t="s">
        <v>8</v>
      </c>
      <c r="D46" s="9">
        <v>45537</v>
      </c>
      <c r="E46" s="7">
        <v>1</v>
      </c>
      <c r="F46" s="7" t="s">
        <v>13</v>
      </c>
    </row>
    <row r="47" spans="1:6" ht="20.25" thickBot="1" x14ac:dyDescent="0.3">
      <c r="A47" s="7" t="s">
        <v>83</v>
      </c>
      <c r="B47" s="7" t="s">
        <v>54</v>
      </c>
      <c r="C47" s="7" t="s">
        <v>12</v>
      </c>
      <c r="D47" s="8">
        <v>45550</v>
      </c>
      <c r="E47" s="7">
        <v>5</v>
      </c>
      <c r="F47" s="7" t="s">
        <v>9</v>
      </c>
    </row>
    <row r="48" spans="1:6" ht="20.25" thickBot="1" x14ac:dyDescent="0.3">
      <c r="A48" s="7" t="s">
        <v>84</v>
      </c>
      <c r="B48" s="7" t="s">
        <v>56</v>
      </c>
      <c r="C48" s="7" t="s">
        <v>16</v>
      </c>
      <c r="D48" s="9">
        <v>45593</v>
      </c>
      <c r="E48" s="7">
        <v>2</v>
      </c>
      <c r="F48" s="7" t="s">
        <v>13</v>
      </c>
    </row>
    <row r="49" spans="1:6" ht="20.25" thickBot="1" x14ac:dyDescent="0.3">
      <c r="A49" s="7" t="s">
        <v>85</v>
      </c>
      <c r="B49" s="7" t="s">
        <v>58</v>
      </c>
      <c r="C49" s="7" t="s">
        <v>21</v>
      </c>
      <c r="D49" s="8">
        <v>45601</v>
      </c>
      <c r="E49" s="7">
        <v>1</v>
      </c>
      <c r="F49" s="7" t="s">
        <v>9</v>
      </c>
    </row>
    <row r="50" spans="1:6" ht="20.25" thickBot="1" x14ac:dyDescent="0.3">
      <c r="A50" s="7" t="s">
        <v>86</v>
      </c>
      <c r="B50" s="7" t="s">
        <v>60</v>
      </c>
      <c r="C50" s="7" t="s">
        <v>24</v>
      </c>
      <c r="D50" s="9">
        <v>45641</v>
      </c>
      <c r="E50" s="7">
        <v>4</v>
      </c>
      <c r="F50" s="7" t="s">
        <v>13</v>
      </c>
    </row>
    <row r="51" spans="1:6" ht="20.25" thickBot="1" x14ac:dyDescent="0.3">
      <c r="A51" s="7" t="s">
        <v>87</v>
      </c>
      <c r="B51" s="7" t="s">
        <v>62</v>
      </c>
      <c r="C51" s="7" t="s">
        <v>8</v>
      </c>
      <c r="D51" s="8">
        <v>45665</v>
      </c>
      <c r="E51" s="7">
        <v>2</v>
      </c>
      <c r="F51" s="7" t="s">
        <v>9</v>
      </c>
    </row>
    <row r="52" spans="1:6" ht="20.25" thickBot="1" x14ac:dyDescent="0.3">
      <c r="A52" s="7" t="s">
        <v>88</v>
      </c>
      <c r="B52" s="7" t="s">
        <v>7</v>
      </c>
      <c r="C52" s="7" t="s">
        <v>16</v>
      </c>
      <c r="D52" s="8">
        <v>44946</v>
      </c>
      <c r="E52" s="7">
        <v>1</v>
      </c>
      <c r="F52" s="7" t="s">
        <v>9</v>
      </c>
    </row>
    <row r="53" spans="1:6" ht="20.25" thickBot="1" x14ac:dyDescent="0.3">
      <c r="A53" s="7" t="s">
        <v>89</v>
      </c>
      <c r="B53" s="7" t="s">
        <v>11</v>
      </c>
      <c r="C53" s="7" t="s">
        <v>21</v>
      </c>
      <c r="D53" s="9">
        <v>44979</v>
      </c>
      <c r="E53" s="7">
        <v>2</v>
      </c>
      <c r="F53" s="7" t="s">
        <v>13</v>
      </c>
    </row>
    <row r="54" spans="1:6" ht="20.25" thickBot="1" x14ac:dyDescent="0.3">
      <c r="A54" s="7" t="s">
        <v>90</v>
      </c>
      <c r="B54" s="7" t="s">
        <v>15</v>
      </c>
      <c r="C54" s="7" t="s">
        <v>24</v>
      </c>
      <c r="D54" s="8">
        <v>45000</v>
      </c>
      <c r="E54" s="7">
        <v>6</v>
      </c>
      <c r="F54" s="7" t="s">
        <v>9</v>
      </c>
    </row>
    <row r="55" spans="1:6" ht="20.25" thickBot="1" x14ac:dyDescent="0.3">
      <c r="A55" s="7" t="s">
        <v>91</v>
      </c>
      <c r="B55" s="7" t="s">
        <v>18</v>
      </c>
      <c r="C55" s="7" t="s">
        <v>8</v>
      </c>
      <c r="D55" s="9">
        <v>45028</v>
      </c>
      <c r="E55" s="7">
        <v>1</v>
      </c>
      <c r="F55" s="7" t="s">
        <v>13</v>
      </c>
    </row>
    <row r="56" spans="1:6" ht="20.25" thickBot="1" x14ac:dyDescent="0.3">
      <c r="A56" s="7" t="s">
        <v>92</v>
      </c>
      <c r="B56" s="7" t="s">
        <v>20</v>
      </c>
      <c r="C56" s="7" t="s">
        <v>12</v>
      </c>
      <c r="D56" s="8">
        <v>45064</v>
      </c>
      <c r="E56" s="7">
        <v>3</v>
      </c>
      <c r="F56" s="7" t="s">
        <v>9</v>
      </c>
    </row>
    <row r="57" spans="1:6" ht="20.25" thickBot="1" x14ac:dyDescent="0.3">
      <c r="A57" s="7" t="s">
        <v>93</v>
      </c>
      <c r="B57" s="7" t="s">
        <v>23</v>
      </c>
      <c r="C57" s="7" t="s">
        <v>16</v>
      </c>
      <c r="D57" s="9">
        <v>45102</v>
      </c>
      <c r="E57" s="7">
        <v>1</v>
      </c>
      <c r="F57" s="7" t="s">
        <v>13</v>
      </c>
    </row>
    <row r="58" spans="1:6" ht="20.25" thickBot="1" x14ac:dyDescent="0.3">
      <c r="A58" s="7" t="s">
        <v>94</v>
      </c>
      <c r="B58" s="7" t="s">
        <v>26</v>
      </c>
      <c r="C58" s="7" t="s">
        <v>21</v>
      </c>
      <c r="D58" s="8">
        <v>45135</v>
      </c>
      <c r="E58" s="7">
        <v>2</v>
      </c>
      <c r="F58" s="7" t="s">
        <v>9</v>
      </c>
    </row>
    <row r="59" spans="1:6" ht="20.25" thickBot="1" x14ac:dyDescent="0.3">
      <c r="A59" s="7" t="s">
        <v>95</v>
      </c>
      <c r="B59" s="7" t="s">
        <v>28</v>
      </c>
      <c r="C59" s="7" t="s">
        <v>24</v>
      </c>
      <c r="D59" s="9">
        <v>45152</v>
      </c>
      <c r="E59" s="7">
        <v>5</v>
      </c>
      <c r="F59" s="7" t="s">
        <v>13</v>
      </c>
    </row>
    <row r="60" spans="1:6" ht="20.25" thickBot="1" x14ac:dyDescent="0.3">
      <c r="A60" s="7" t="s">
        <v>96</v>
      </c>
      <c r="B60" s="7" t="s">
        <v>30</v>
      </c>
      <c r="C60" s="7" t="s">
        <v>8</v>
      </c>
      <c r="D60" s="8">
        <v>45189</v>
      </c>
      <c r="E60" s="7">
        <v>1</v>
      </c>
      <c r="F60" s="7" t="s">
        <v>9</v>
      </c>
    </row>
    <row r="61" spans="1:6" ht="20.25" thickBot="1" x14ac:dyDescent="0.3">
      <c r="A61" s="7" t="s">
        <v>97</v>
      </c>
      <c r="B61" s="7" t="s">
        <v>32</v>
      </c>
      <c r="C61" s="7" t="s">
        <v>12</v>
      </c>
      <c r="D61" s="9">
        <v>45209</v>
      </c>
      <c r="E61" s="7">
        <v>4</v>
      </c>
      <c r="F61" s="7" t="s">
        <v>13</v>
      </c>
    </row>
    <row r="62" spans="1:6" ht="20.25" thickBot="1" x14ac:dyDescent="0.3">
      <c r="A62" s="7" t="s">
        <v>98</v>
      </c>
      <c r="B62" s="7" t="s">
        <v>34</v>
      </c>
      <c r="C62" s="7" t="s">
        <v>16</v>
      </c>
      <c r="D62" s="8">
        <v>45248</v>
      </c>
      <c r="E62" s="7">
        <v>2</v>
      </c>
      <c r="F62" s="7" t="s">
        <v>9</v>
      </c>
    </row>
    <row r="63" spans="1:6" ht="20.25" thickBot="1" x14ac:dyDescent="0.3">
      <c r="A63" s="7" t="s">
        <v>99</v>
      </c>
      <c r="B63" s="7" t="s">
        <v>36</v>
      </c>
      <c r="C63" s="7" t="s">
        <v>21</v>
      </c>
      <c r="D63" s="9">
        <v>45290</v>
      </c>
      <c r="E63" s="7">
        <v>1</v>
      </c>
      <c r="F63" s="7" t="s">
        <v>13</v>
      </c>
    </row>
    <row r="64" spans="1:6" ht="20.25" thickBot="1" x14ac:dyDescent="0.3">
      <c r="A64" s="7" t="s">
        <v>100</v>
      </c>
      <c r="B64" s="7" t="s">
        <v>38</v>
      </c>
      <c r="C64" s="7" t="s">
        <v>24</v>
      </c>
      <c r="D64" s="8">
        <v>45306</v>
      </c>
      <c r="E64" s="7">
        <v>3</v>
      </c>
      <c r="F64" s="7" t="s">
        <v>9</v>
      </c>
    </row>
    <row r="65" spans="1:6" ht="20.25" thickBot="1" x14ac:dyDescent="0.3">
      <c r="A65" s="7" t="s">
        <v>101</v>
      </c>
      <c r="B65" s="7" t="s">
        <v>40</v>
      </c>
      <c r="C65" s="7" t="s">
        <v>8</v>
      </c>
      <c r="D65" s="9">
        <v>45344</v>
      </c>
      <c r="E65" s="7">
        <v>1</v>
      </c>
      <c r="F65" s="7" t="s">
        <v>13</v>
      </c>
    </row>
    <row r="66" spans="1:6" ht="20.25" thickBot="1" x14ac:dyDescent="0.3">
      <c r="A66" s="7" t="s">
        <v>102</v>
      </c>
      <c r="B66" s="7" t="s">
        <v>42</v>
      </c>
      <c r="C66" s="7" t="s">
        <v>12</v>
      </c>
      <c r="D66" s="8">
        <v>45363</v>
      </c>
      <c r="E66" s="7">
        <v>5</v>
      </c>
      <c r="F66" s="7" t="s">
        <v>9</v>
      </c>
    </row>
    <row r="67" spans="1:6" ht="20.25" thickBot="1" x14ac:dyDescent="0.3">
      <c r="A67" s="7" t="s">
        <v>103</v>
      </c>
      <c r="B67" s="7" t="s">
        <v>44</v>
      </c>
      <c r="C67" s="7" t="s">
        <v>16</v>
      </c>
      <c r="D67" s="9">
        <v>45407</v>
      </c>
      <c r="E67" s="7">
        <v>1</v>
      </c>
      <c r="F67" s="7" t="s">
        <v>13</v>
      </c>
    </row>
    <row r="68" spans="1:6" ht="20.25" thickBot="1" x14ac:dyDescent="0.3">
      <c r="A68" s="7" t="s">
        <v>104</v>
      </c>
      <c r="B68" s="7" t="s">
        <v>46</v>
      </c>
      <c r="C68" s="7" t="s">
        <v>21</v>
      </c>
      <c r="D68" s="8">
        <v>45440</v>
      </c>
      <c r="E68" s="7">
        <v>2</v>
      </c>
      <c r="F68" s="7" t="s">
        <v>9</v>
      </c>
    </row>
    <row r="69" spans="1:6" ht="20.25" thickBot="1" x14ac:dyDescent="0.3">
      <c r="A69" s="7" t="s">
        <v>105</v>
      </c>
      <c r="B69" s="7" t="s">
        <v>48</v>
      </c>
      <c r="C69" s="7" t="s">
        <v>24</v>
      </c>
      <c r="D69" s="9">
        <v>45458</v>
      </c>
      <c r="E69" s="7">
        <v>4</v>
      </c>
      <c r="F69" s="7" t="s">
        <v>13</v>
      </c>
    </row>
    <row r="70" spans="1:6" ht="20.25" thickBot="1" x14ac:dyDescent="0.3">
      <c r="A70" s="7" t="s">
        <v>106</v>
      </c>
      <c r="B70" s="7" t="s">
        <v>50</v>
      </c>
      <c r="C70" s="7" t="s">
        <v>8</v>
      </c>
      <c r="D70" s="8">
        <v>45498</v>
      </c>
      <c r="E70" s="7">
        <v>1</v>
      </c>
      <c r="F70" s="7" t="s">
        <v>9</v>
      </c>
    </row>
    <row r="71" spans="1:6" ht="20.25" thickBot="1" x14ac:dyDescent="0.3">
      <c r="A71" s="7" t="s">
        <v>107</v>
      </c>
      <c r="B71" s="7" t="s">
        <v>52</v>
      </c>
      <c r="C71" s="7" t="s">
        <v>12</v>
      </c>
      <c r="D71" s="9">
        <v>45540</v>
      </c>
      <c r="E71" s="7">
        <v>3</v>
      </c>
      <c r="F71" s="7" t="s">
        <v>13</v>
      </c>
    </row>
    <row r="72" spans="1:6" ht="20.25" thickBot="1" x14ac:dyDescent="0.3">
      <c r="A72" s="7" t="s">
        <v>108</v>
      </c>
      <c r="B72" s="7" t="s">
        <v>54</v>
      </c>
      <c r="C72" s="7" t="s">
        <v>16</v>
      </c>
      <c r="D72" s="8">
        <v>45553</v>
      </c>
      <c r="E72" s="7">
        <v>2</v>
      </c>
      <c r="F72" s="7" t="s">
        <v>9</v>
      </c>
    </row>
    <row r="73" spans="1:6" ht="20.25" thickBot="1" x14ac:dyDescent="0.3">
      <c r="A73" s="7" t="s">
        <v>109</v>
      </c>
      <c r="B73" s="7" t="s">
        <v>56</v>
      </c>
      <c r="C73" s="7" t="s">
        <v>21</v>
      </c>
      <c r="D73" s="9">
        <v>45595</v>
      </c>
      <c r="E73" s="7">
        <v>1</v>
      </c>
      <c r="F73" s="7" t="s">
        <v>13</v>
      </c>
    </row>
    <row r="74" spans="1:6" ht="20.25" thickBot="1" x14ac:dyDescent="0.3">
      <c r="A74" s="7" t="s">
        <v>110</v>
      </c>
      <c r="B74" s="7" t="s">
        <v>58</v>
      </c>
      <c r="C74" s="7" t="s">
        <v>24</v>
      </c>
      <c r="D74" s="8">
        <v>45604</v>
      </c>
      <c r="E74" s="7">
        <v>5</v>
      </c>
      <c r="F74" s="7" t="s">
        <v>9</v>
      </c>
    </row>
    <row r="75" spans="1:6" ht="20.25" thickBot="1" x14ac:dyDescent="0.3">
      <c r="A75" s="7" t="s">
        <v>111</v>
      </c>
      <c r="B75" s="7" t="s">
        <v>60</v>
      </c>
      <c r="C75" s="7" t="s">
        <v>8</v>
      </c>
      <c r="D75" s="9">
        <v>45644</v>
      </c>
      <c r="E75" s="7">
        <v>1</v>
      </c>
      <c r="F75" s="7" t="s">
        <v>13</v>
      </c>
    </row>
    <row r="76" spans="1:6" ht="20.25" thickBot="1" x14ac:dyDescent="0.3">
      <c r="A76" s="7" t="s">
        <v>112</v>
      </c>
      <c r="B76" s="7" t="s">
        <v>62</v>
      </c>
      <c r="C76" s="7" t="s">
        <v>12</v>
      </c>
      <c r="D76" s="8">
        <v>45669</v>
      </c>
      <c r="E76" s="7">
        <v>4</v>
      </c>
      <c r="F76" s="7" t="s">
        <v>9</v>
      </c>
    </row>
    <row r="77" spans="1:6" ht="20.25" thickBot="1" x14ac:dyDescent="0.3">
      <c r="A77" s="7" t="s">
        <v>113</v>
      </c>
      <c r="B77" s="7" t="s">
        <v>7</v>
      </c>
      <c r="C77" s="7" t="s">
        <v>21</v>
      </c>
      <c r="D77" s="8">
        <v>44951</v>
      </c>
      <c r="E77" s="7">
        <v>1</v>
      </c>
      <c r="F77" s="7" t="s">
        <v>9</v>
      </c>
    </row>
    <row r="78" spans="1:6" ht="20.25" thickBot="1" x14ac:dyDescent="0.3">
      <c r="A78" s="7" t="s">
        <v>114</v>
      </c>
      <c r="B78" s="7" t="s">
        <v>11</v>
      </c>
      <c r="C78" s="7" t="s">
        <v>24</v>
      </c>
      <c r="D78" s="9">
        <v>44982</v>
      </c>
      <c r="E78" s="7">
        <v>7</v>
      </c>
      <c r="F78" s="7" t="s">
        <v>13</v>
      </c>
    </row>
    <row r="79" spans="1:6" ht="20.25" thickBot="1" x14ac:dyDescent="0.3">
      <c r="A79" s="7" t="s">
        <v>115</v>
      </c>
      <c r="B79" s="7" t="s">
        <v>15</v>
      </c>
      <c r="C79" s="7" t="s">
        <v>8</v>
      </c>
      <c r="D79" s="8">
        <v>45003</v>
      </c>
      <c r="E79" s="7">
        <v>1</v>
      </c>
      <c r="F79" s="7" t="s">
        <v>9</v>
      </c>
    </row>
    <row r="80" spans="1:6" ht="20.25" thickBot="1" x14ac:dyDescent="0.3">
      <c r="A80" s="7" t="s">
        <v>116</v>
      </c>
      <c r="B80" s="7" t="s">
        <v>18</v>
      </c>
      <c r="C80" s="7" t="s">
        <v>12</v>
      </c>
      <c r="D80" s="9">
        <v>45031</v>
      </c>
      <c r="E80" s="7">
        <v>3</v>
      </c>
      <c r="F80" s="7" t="s">
        <v>13</v>
      </c>
    </row>
    <row r="81" spans="1:6" ht="20.25" thickBot="1" x14ac:dyDescent="0.3">
      <c r="A81" s="7" t="s">
        <v>117</v>
      </c>
      <c r="B81" s="7" t="s">
        <v>20</v>
      </c>
      <c r="C81" s="7" t="s">
        <v>16</v>
      </c>
      <c r="D81" s="8">
        <v>45068</v>
      </c>
      <c r="E81" s="7">
        <v>2</v>
      </c>
      <c r="F81" s="7" t="s">
        <v>9</v>
      </c>
    </row>
    <row r="82" spans="1:6" ht="20.25" thickBot="1" x14ac:dyDescent="0.3">
      <c r="A82" s="7" t="s">
        <v>118</v>
      </c>
      <c r="B82" s="7" t="s">
        <v>23</v>
      </c>
      <c r="C82" s="7" t="s">
        <v>21</v>
      </c>
      <c r="D82" s="9">
        <v>45105</v>
      </c>
      <c r="E82" s="7">
        <v>1</v>
      </c>
      <c r="F82" s="7" t="s">
        <v>13</v>
      </c>
    </row>
    <row r="83" spans="1:6" ht="20.25" thickBot="1" x14ac:dyDescent="0.3">
      <c r="A83" s="7" t="s">
        <v>119</v>
      </c>
      <c r="B83" s="7" t="s">
        <v>26</v>
      </c>
      <c r="C83" s="7" t="s">
        <v>24</v>
      </c>
      <c r="D83" s="8">
        <v>45137</v>
      </c>
      <c r="E83" s="7">
        <v>4</v>
      </c>
      <c r="F83" s="7" t="s">
        <v>9</v>
      </c>
    </row>
    <row r="84" spans="1:6" ht="20.25" thickBot="1" x14ac:dyDescent="0.3">
      <c r="A84" s="7" t="s">
        <v>120</v>
      </c>
      <c r="B84" s="7" t="s">
        <v>28</v>
      </c>
      <c r="C84" s="7" t="s">
        <v>8</v>
      </c>
      <c r="D84" s="9">
        <v>45156</v>
      </c>
      <c r="E84" s="7">
        <v>2</v>
      </c>
      <c r="F84" s="7" t="s">
        <v>13</v>
      </c>
    </row>
    <row r="85" spans="1:6" ht="20.25" thickBot="1" x14ac:dyDescent="0.3">
      <c r="A85" s="7" t="s">
        <v>121</v>
      </c>
      <c r="B85" s="7" t="s">
        <v>30</v>
      </c>
      <c r="C85" s="7" t="s">
        <v>12</v>
      </c>
      <c r="D85" s="8">
        <v>45194</v>
      </c>
      <c r="E85" s="7">
        <v>5</v>
      </c>
      <c r="F85" s="7" t="s">
        <v>9</v>
      </c>
    </row>
    <row r="86" spans="1:6" ht="20.25" thickBot="1" x14ac:dyDescent="0.3">
      <c r="A86" s="7" t="s">
        <v>122</v>
      </c>
      <c r="B86" s="7" t="s">
        <v>32</v>
      </c>
      <c r="C86" s="7" t="s">
        <v>16</v>
      </c>
      <c r="D86" s="9">
        <v>45214</v>
      </c>
      <c r="E86" s="7">
        <v>1</v>
      </c>
      <c r="F86" s="7" t="s">
        <v>13</v>
      </c>
    </row>
    <row r="87" spans="1:6" ht="20.25" thickBot="1" x14ac:dyDescent="0.3">
      <c r="A87" s="7" t="s">
        <v>123</v>
      </c>
      <c r="B87" s="7" t="s">
        <v>34</v>
      </c>
      <c r="C87" s="7" t="s">
        <v>21</v>
      </c>
      <c r="D87" s="8">
        <v>45252</v>
      </c>
      <c r="E87" s="7">
        <v>2</v>
      </c>
      <c r="F87" s="7" t="s">
        <v>9</v>
      </c>
    </row>
    <row r="88" spans="1:6" ht="20.25" thickBot="1" x14ac:dyDescent="0.3">
      <c r="A88" s="7" t="s">
        <v>124</v>
      </c>
      <c r="B88" s="7" t="s">
        <v>36</v>
      </c>
      <c r="C88" s="7" t="s">
        <v>24</v>
      </c>
      <c r="D88" s="9">
        <v>45296</v>
      </c>
      <c r="E88" s="7">
        <v>3</v>
      </c>
      <c r="F88" s="7" t="s">
        <v>13</v>
      </c>
    </row>
    <row r="89" spans="1:6" ht="20.25" thickBot="1" x14ac:dyDescent="0.3">
      <c r="A89" s="7" t="s">
        <v>125</v>
      </c>
      <c r="B89" s="7" t="s">
        <v>38</v>
      </c>
      <c r="C89" s="7" t="s">
        <v>8</v>
      </c>
      <c r="D89" s="8">
        <v>45309</v>
      </c>
      <c r="E89" s="7">
        <v>1</v>
      </c>
      <c r="F89" s="7" t="s">
        <v>9</v>
      </c>
    </row>
    <row r="90" spans="1:6" ht="20.25" thickBot="1" x14ac:dyDescent="0.3">
      <c r="A90" s="7" t="s">
        <v>126</v>
      </c>
      <c r="B90" s="7" t="s">
        <v>40</v>
      </c>
      <c r="C90" s="7" t="s">
        <v>12</v>
      </c>
      <c r="D90" s="9">
        <v>45347</v>
      </c>
      <c r="E90" s="7">
        <v>4</v>
      </c>
      <c r="F90" s="7" t="s">
        <v>13</v>
      </c>
    </row>
    <row r="91" spans="1:6" ht="20.25" thickBot="1" x14ac:dyDescent="0.3">
      <c r="A91" s="7" t="s">
        <v>127</v>
      </c>
      <c r="B91" s="7" t="s">
        <v>42</v>
      </c>
      <c r="C91" s="7" t="s">
        <v>16</v>
      </c>
      <c r="D91" s="8">
        <v>45366</v>
      </c>
      <c r="E91" s="7">
        <v>2</v>
      </c>
      <c r="F91" s="7" t="s">
        <v>9</v>
      </c>
    </row>
    <row r="92" spans="1:6" ht="20.25" thickBot="1" x14ac:dyDescent="0.3">
      <c r="A92" s="7" t="s">
        <v>128</v>
      </c>
      <c r="B92" s="7" t="s">
        <v>44</v>
      </c>
      <c r="C92" s="7" t="s">
        <v>21</v>
      </c>
      <c r="D92" s="9">
        <v>45410</v>
      </c>
      <c r="E92" s="7">
        <v>1</v>
      </c>
      <c r="F92" s="7" t="s">
        <v>13</v>
      </c>
    </row>
    <row r="93" spans="1:6" ht="20.25" thickBot="1" x14ac:dyDescent="0.3">
      <c r="A93" s="7" t="s">
        <v>129</v>
      </c>
      <c r="B93" s="7" t="s">
        <v>46</v>
      </c>
      <c r="C93" s="7" t="s">
        <v>24</v>
      </c>
      <c r="D93" s="8">
        <v>45442</v>
      </c>
      <c r="E93" s="7">
        <v>6</v>
      </c>
      <c r="F93" s="7" t="s">
        <v>9</v>
      </c>
    </row>
    <row r="94" spans="1:6" ht="20.25" thickBot="1" x14ac:dyDescent="0.3">
      <c r="A94" s="7" t="s">
        <v>130</v>
      </c>
      <c r="B94" s="7" t="s">
        <v>48</v>
      </c>
      <c r="C94" s="7" t="s">
        <v>8</v>
      </c>
      <c r="D94" s="9">
        <v>45463</v>
      </c>
      <c r="E94" s="7">
        <v>1</v>
      </c>
      <c r="F94" s="7" t="s">
        <v>13</v>
      </c>
    </row>
    <row r="95" spans="1:6" ht="20.25" thickBot="1" x14ac:dyDescent="0.3">
      <c r="A95" s="7" t="s">
        <v>131</v>
      </c>
      <c r="B95" s="7" t="s">
        <v>50</v>
      </c>
      <c r="C95" s="7" t="s">
        <v>12</v>
      </c>
      <c r="D95" s="8">
        <v>45501</v>
      </c>
      <c r="E95" s="7">
        <v>3</v>
      </c>
      <c r="F95" s="7" t="s">
        <v>9</v>
      </c>
    </row>
    <row r="96" spans="1:6" ht="20.25" thickBot="1" x14ac:dyDescent="0.3">
      <c r="A96" s="7" t="s">
        <v>132</v>
      </c>
      <c r="B96" s="7" t="s">
        <v>52</v>
      </c>
      <c r="C96" s="7" t="s">
        <v>16</v>
      </c>
      <c r="D96" s="9">
        <v>45545</v>
      </c>
      <c r="E96" s="7">
        <v>2</v>
      </c>
      <c r="F96" s="7" t="s">
        <v>13</v>
      </c>
    </row>
    <row r="97" spans="1:6" ht="20.25" thickBot="1" x14ac:dyDescent="0.3">
      <c r="A97" s="7" t="s">
        <v>133</v>
      </c>
      <c r="B97" s="7" t="s">
        <v>54</v>
      </c>
      <c r="C97" s="7" t="s">
        <v>21</v>
      </c>
      <c r="D97" s="8">
        <v>45557</v>
      </c>
      <c r="E97" s="7">
        <v>1</v>
      </c>
      <c r="F97" s="7" t="s">
        <v>9</v>
      </c>
    </row>
    <row r="98" spans="1:6" ht="20.25" thickBot="1" x14ac:dyDescent="0.3">
      <c r="A98" s="7" t="s">
        <v>134</v>
      </c>
      <c r="B98" s="7" t="s">
        <v>56</v>
      </c>
      <c r="C98" s="7" t="s">
        <v>24</v>
      </c>
      <c r="D98" s="9">
        <v>45601</v>
      </c>
      <c r="E98" s="7">
        <v>5</v>
      </c>
      <c r="F98" s="7" t="s">
        <v>13</v>
      </c>
    </row>
    <row r="99" spans="1:6" ht="20.25" thickBot="1" x14ac:dyDescent="0.3">
      <c r="A99" s="7" t="s">
        <v>135</v>
      </c>
      <c r="B99" s="7" t="s">
        <v>58</v>
      </c>
      <c r="C99" s="7" t="s">
        <v>8</v>
      </c>
      <c r="D99" s="8">
        <v>45608</v>
      </c>
      <c r="E99" s="7">
        <v>1</v>
      </c>
      <c r="F99" s="7" t="s">
        <v>9</v>
      </c>
    </row>
    <row r="100" spans="1:6" ht="20.25" thickBot="1" x14ac:dyDescent="0.3">
      <c r="A100" s="7" t="s">
        <v>136</v>
      </c>
      <c r="B100" s="7" t="s">
        <v>60</v>
      </c>
      <c r="C100" s="7" t="s">
        <v>12</v>
      </c>
      <c r="D100" s="9">
        <v>45648</v>
      </c>
      <c r="E100" s="7">
        <v>4</v>
      </c>
      <c r="F100" s="7" t="s">
        <v>13</v>
      </c>
    </row>
    <row r="101" spans="1:6" ht="20.25" thickBot="1" x14ac:dyDescent="0.3">
      <c r="A101" s="7" t="s">
        <v>137</v>
      </c>
      <c r="B101" s="7" t="s">
        <v>62</v>
      </c>
      <c r="C101" s="7" t="s">
        <v>16</v>
      </c>
      <c r="D101" s="8">
        <v>45672</v>
      </c>
      <c r="E101" s="7">
        <v>2</v>
      </c>
      <c r="F101" s="7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CD811-13BB-4D78-9AC1-86F39D2E82FC}">
  <dimension ref="A1:D6"/>
  <sheetViews>
    <sheetView workbookViewId="0">
      <selection activeCell="G9" sqref="G9"/>
    </sheetView>
  </sheetViews>
  <sheetFormatPr defaultRowHeight="19.5" x14ac:dyDescent="0.55000000000000004"/>
  <cols>
    <col min="1" max="1" width="14.85546875" style="4" bestFit="1" customWidth="1"/>
    <col min="2" max="2" width="22.85546875" style="4" bestFit="1" customWidth="1"/>
    <col min="3" max="3" width="16.28515625" style="4" bestFit="1" customWidth="1"/>
    <col min="4" max="4" width="11.42578125" style="4" bestFit="1" customWidth="1"/>
    <col min="5" max="16384" width="9.140625" style="4"/>
  </cols>
  <sheetData>
    <row r="1" spans="1:4" ht="20.25" thickBot="1" x14ac:dyDescent="0.6">
      <c r="A1" s="6" t="s">
        <v>2</v>
      </c>
      <c r="B1" s="6" t="s">
        <v>138</v>
      </c>
      <c r="C1" s="6" t="s">
        <v>139</v>
      </c>
      <c r="D1" s="6" t="s">
        <v>140</v>
      </c>
    </row>
    <row r="2" spans="1:4" ht="20.25" thickBot="1" x14ac:dyDescent="0.6">
      <c r="A2" s="7" t="s">
        <v>8</v>
      </c>
      <c r="B2" s="7" t="s">
        <v>141</v>
      </c>
      <c r="C2" s="7">
        <v>12500000</v>
      </c>
      <c r="D2" s="7" t="s">
        <v>142</v>
      </c>
    </row>
    <row r="3" spans="1:4" ht="20.25" thickBot="1" x14ac:dyDescent="0.6">
      <c r="A3" s="7" t="s">
        <v>12</v>
      </c>
      <c r="B3" s="7" t="s">
        <v>143</v>
      </c>
      <c r="C3" s="7">
        <v>150000</v>
      </c>
      <c r="D3" s="7" t="s">
        <v>144</v>
      </c>
    </row>
    <row r="4" spans="1:4" ht="20.25" thickBot="1" x14ac:dyDescent="0.6">
      <c r="A4" s="7" t="s">
        <v>16</v>
      </c>
      <c r="B4" s="7" t="s">
        <v>145</v>
      </c>
      <c r="C4" s="7">
        <v>450000</v>
      </c>
      <c r="D4" s="7" t="s">
        <v>144</v>
      </c>
    </row>
    <row r="5" spans="1:4" ht="20.25" thickBot="1" x14ac:dyDescent="0.6">
      <c r="A5" s="7" t="s">
        <v>21</v>
      </c>
      <c r="B5" s="7" t="s">
        <v>146</v>
      </c>
      <c r="C5" s="7">
        <v>2100000</v>
      </c>
      <c r="D5" s="7" t="s">
        <v>142</v>
      </c>
    </row>
    <row r="6" spans="1:4" ht="20.25" thickBot="1" x14ac:dyDescent="0.6">
      <c r="A6" s="7" t="s">
        <v>24</v>
      </c>
      <c r="B6" s="7" t="s">
        <v>147</v>
      </c>
      <c r="C6" s="7">
        <v>95000</v>
      </c>
      <c r="D6" s="7" t="s">
        <v>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280F8-FC01-4733-8FB7-EB7497D30032}">
  <dimension ref="A1:M103"/>
  <sheetViews>
    <sheetView topLeftCell="A4" workbookViewId="0">
      <selection activeCell="B9" sqref="A4:M103"/>
    </sheetView>
  </sheetViews>
  <sheetFormatPr defaultRowHeight="21.75" x14ac:dyDescent="0.6"/>
  <cols>
    <col min="1" max="6" width="25.7109375" style="1" customWidth="1"/>
    <col min="7" max="7" width="32.5703125" style="1" customWidth="1"/>
    <col min="8" max="10" width="25.7109375" style="1" customWidth="1"/>
    <col min="11" max="11" width="27.5703125" style="1" customWidth="1"/>
    <col min="12" max="12" width="26.5703125" style="1" customWidth="1"/>
    <col min="13" max="13" width="26.28515625" style="1" customWidth="1"/>
    <col min="14" max="16384" width="9.140625" style="1"/>
  </cols>
  <sheetData>
    <row r="1" spans="1:13" ht="21.75" customHeight="1" x14ac:dyDescent="0.6">
      <c r="A1" s="13" t="s">
        <v>153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21.75" customHeight="1" x14ac:dyDescent="0.6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x14ac:dyDescent="0.6">
      <c r="A3" s="2" t="s">
        <v>0</v>
      </c>
      <c r="B3" s="2" t="s">
        <v>1</v>
      </c>
      <c r="C3" s="2" t="s">
        <v>2</v>
      </c>
      <c r="D3" s="2" t="s">
        <v>138</v>
      </c>
      <c r="E3" s="2" t="s">
        <v>139</v>
      </c>
      <c r="F3" s="2" t="s">
        <v>140</v>
      </c>
      <c r="G3" s="2" t="s">
        <v>3</v>
      </c>
      <c r="H3" s="2" t="s">
        <v>148</v>
      </c>
      <c r="I3" s="2" t="s">
        <v>149</v>
      </c>
      <c r="J3" s="2" t="s">
        <v>5</v>
      </c>
      <c r="K3" s="2" t="s">
        <v>150</v>
      </c>
      <c r="L3" s="2" t="s">
        <v>151</v>
      </c>
      <c r="M3" s="2" t="s">
        <v>152</v>
      </c>
    </row>
    <row r="4" spans="1:13" x14ac:dyDescent="0.6">
      <c r="A4" s="3" t="s">
        <v>6</v>
      </c>
      <c r="B4" s="4" t="str">
        <f>PROPER(_xlfn.XLOOKUP(Table1[[#This Row],[ID]],'Data Mentah'!$A$2:$A$101,'Data Mentah'!$B$2:$B$101,"",0))</f>
        <v>Budi Santoso</v>
      </c>
      <c r="C4" s="4" t="str">
        <f>_xlfn.XLOOKUP(Table1[[#This Row],[ID]],'Data Mentah'!$A$2:$A$101,'Data Mentah'!$C$2:$C$101,"",0)</f>
        <v>P-01</v>
      </c>
      <c r="D4" s="4" t="str">
        <f>VLOOKUP(Table1[[#This Row],[Kode Produk]],'Tabel Referensi'!$A$2:$B$6,2,FALSE)</f>
        <v>Laptop Pro 14</v>
      </c>
      <c r="E4" s="11">
        <f>INDEX('Tabel Referensi'!$C$2:$C$6,MATCH(Table1[[#This Row],[Kode Produk]],'Tabel Referensi'!$A$2:$A$6,0))</f>
        <v>12500000</v>
      </c>
      <c r="F4" s="4" t="str">
        <f>INDEX('Tabel Referensi'!$D$2:$D$6,MATCH(Table1[[#This Row],[Kode Produk]],'Tabel Referensi'!$A$2:$A$6,0))</f>
        <v>Komputer</v>
      </c>
      <c r="G4" s="10">
        <f>_xlfn.XLOOKUP(Table1[[#This Row],[ID]],'Data Mentah'!$A$1:$A$101,'Data Mentah'!$D$1:$D$101,"",0)</f>
        <v>44938</v>
      </c>
      <c r="H4" s="4">
        <f>_xlfn.XLOOKUP(Table1[[#This Row],[ID]],'Data Mentah'!$A$1:$A$101,'Data Mentah'!$E$1:$E$101,"",0)</f>
        <v>2</v>
      </c>
      <c r="I4" s="11">
        <f>Table1[[#This Row],[Harga Satuan]]*Table1[[#This Row],[Quantity]]</f>
        <v>25000000</v>
      </c>
      <c r="J4" s="4" t="str">
        <f>INDEX('Data Mentah'!$F$2:$F$101,MATCH(Table1[[#This Row],[ID]],'Data Mentah'!$A$2:$A$101,0))</f>
        <v>Ya</v>
      </c>
      <c r="K4" s="4" t="str">
        <f>IF(AND(Table1[[#This Row],[Member]]="Ya",Table1[[#This Row],[Total Harga]]&gt;=1000000),"10%","0%")</f>
        <v>10%</v>
      </c>
      <c r="L4" s="12">
        <f>Table1[[#This Row],[Total Harga]]*Table1[[#This Row],[Status Diskon]]</f>
        <v>2500000</v>
      </c>
      <c r="M4" s="5">
        <f>Table1[[#This Row],[Total Harga]]-Table1[[#This Row],[Nominal Diskon]]</f>
        <v>22500000</v>
      </c>
    </row>
    <row r="5" spans="1:13" x14ac:dyDescent="0.6">
      <c r="A5" s="3" t="s">
        <v>63</v>
      </c>
      <c r="B5" s="4" t="str">
        <f>PROPER(_xlfn.XLOOKUP(Table1[[#This Row],[ID]],'Data Mentah'!$A$2:$A$101,'Data Mentah'!$B$2:$B$101,"",0))</f>
        <v>Budi Santoso</v>
      </c>
      <c r="C5" s="4" t="str">
        <f>_xlfn.XLOOKUP(Table1[[#This Row],[ID]],'Data Mentah'!$A$2:$A$101,'Data Mentah'!$C$2:$C$101,"",0)</f>
        <v>P-02</v>
      </c>
      <c r="D5" s="4" t="str">
        <f>VLOOKUP(Table1[[#This Row],[Kode Produk]],'Tabel Referensi'!$A$2:$B$6,2,FALSE)</f>
        <v>Mouse Wireless</v>
      </c>
      <c r="E5" s="11">
        <f>INDEX('Tabel Referensi'!$C$2:$C$6,MATCH(Table1[[#This Row],[Kode Produk]],'Tabel Referensi'!$A$2:$A$6,0))</f>
        <v>150000</v>
      </c>
      <c r="F5" s="4" t="str">
        <f>INDEX('Tabel Referensi'!$D$2:$D$6,MATCH(Table1[[#This Row],[Kode Produk]],'Tabel Referensi'!$A$2:$A$6,0))</f>
        <v>Aksesoris</v>
      </c>
      <c r="G5" s="10">
        <f>_xlfn.XLOOKUP(Table1[[#This Row],[ID]],'Data Mentah'!$A$1:$A$101,'Data Mentah'!$D$1:$D$101,"",0)</f>
        <v>44941</v>
      </c>
      <c r="H5" s="4">
        <f>_xlfn.XLOOKUP(Table1[[#This Row],[ID]],'Data Mentah'!$A$1:$A$101,'Data Mentah'!$E$1:$E$101,"",0)</f>
        <v>1</v>
      </c>
      <c r="I5" s="11">
        <f>Table1[[#This Row],[Harga Satuan]]*Table1[[#This Row],[Quantity]]</f>
        <v>150000</v>
      </c>
      <c r="J5" s="4" t="str">
        <f>INDEX('Data Mentah'!$F$2:$F$101,MATCH(Table1[[#This Row],[ID]],'Data Mentah'!$A$2:$A$101,0))</f>
        <v>Ya</v>
      </c>
      <c r="K5" s="4" t="str">
        <f>IF(AND(Table1[[#This Row],[Member]]="Ya",Table1[[#This Row],[Total Harga]]&gt;=1000000),"10%","0%")</f>
        <v>0%</v>
      </c>
      <c r="L5" s="12">
        <f>Table1[[#This Row],[Total Harga]]*Table1[[#This Row],[Status Diskon]]</f>
        <v>0</v>
      </c>
      <c r="M5" s="5">
        <f>Table1[[#This Row],[Total Harga]]-Table1[[#This Row],[Nominal Diskon]]</f>
        <v>150000</v>
      </c>
    </row>
    <row r="6" spans="1:13" x14ac:dyDescent="0.6">
      <c r="A6" s="3" t="s">
        <v>88</v>
      </c>
      <c r="B6" s="4" t="str">
        <f>PROPER(_xlfn.XLOOKUP(Table1[[#This Row],[ID]],'Data Mentah'!$A$2:$A$101,'Data Mentah'!$B$2:$B$101,"",0))</f>
        <v>Budi Santoso</v>
      </c>
      <c r="C6" s="4" t="str">
        <f>_xlfn.XLOOKUP(Table1[[#This Row],[ID]],'Data Mentah'!$A$2:$A$101,'Data Mentah'!$C$2:$C$101,"",0)</f>
        <v>P-03</v>
      </c>
      <c r="D6" s="4" t="str">
        <f>VLOOKUP(Table1[[#This Row],[Kode Produk]],'Tabel Referensi'!$A$2:$B$6,2,FALSE)</f>
        <v>Keyboard Mechanical</v>
      </c>
      <c r="E6" s="11">
        <f>INDEX('Tabel Referensi'!$C$2:$C$6,MATCH(Table1[[#This Row],[Kode Produk]],'Tabel Referensi'!$A$2:$A$6,0))</f>
        <v>450000</v>
      </c>
      <c r="F6" s="4" t="str">
        <f>INDEX('Tabel Referensi'!$D$2:$D$6,MATCH(Table1[[#This Row],[Kode Produk]],'Tabel Referensi'!$A$2:$A$6,0))</f>
        <v>Aksesoris</v>
      </c>
      <c r="G6" s="10">
        <f>_xlfn.XLOOKUP(Table1[[#This Row],[ID]],'Data Mentah'!$A$1:$A$101,'Data Mentah'!$D$1:$D$101,"",0)</f>
        <v>44946</v>
      </c>
      <c r="H6" s="4">
        <f>_xlfn.XLOOKUP(Table1[[#This Row],[ID]],'Data Mentah'!$A$1:$A$101,'Data Mentah'!$E$1:$E$101,"",0)</f>
        <v>1</v>
      </c>
      <c r="I6" s="11">
        <f>Table1[[#This Row],[Harga Satuan]]*Table1[[#This Row],[Quantity]]</f>
        <v>450000</v>
      </c>
      <c r="J6" s="4" t="str">
        <f>INDEX('Data Mentah'!$F$2:$F$101,MATCH(Table1[[#This Row],[ID]],'Data Mentah'!$A$2:$A$101,0))</f>
        <v>Ya</v>
      </c>
      <c r="K6" s="4" t="str">
        <f>IF(AND(Table1[[#This Row],[Member]]="Ya",Table1[[#This Row],[Total Harga]]&gt;=1000000),"10%","0%")</f>
        <v>0%</v>
      </c>
      <c r="L6" s="12">
        <f>Table1[[#This Row],[Total Harga]]*Table1[[#This Row],[Status Diskon]]</f>
        <v>0</v>
      </c>
      <c r="M6" s="5">
        <f>Table1[[#This Row],[Total Harga]]-Table1[[#This Row],[Nominal Diskon]]</f>
        <v>450000</v>
      </c>
    </row>
    <row r="7" spans="1:13" x14ac:dyDescent="0.6">
      <c r="A7" s="3" t="s">
        <v>113</v>
      </c>
      <c r="B7" s="4" t="str">
        <f>PROPER(_xlfn.XLOOKUP(Table1[[#This Row],[ID]],'Data Mentah'!$A$2:$A$101,'Data Mentah'!$B$2:$B$101,"",0))</f>
        <v>Budi Santoso</v>
      </c>
      <c r="C7" s="4" t="str">
        <f>_xlfn.XLOOKUP(Table1[[#This Row],[ID]],'Data Mentah'!$A$2:$A$101,'Data Mentah'!$C$2:$C$101,"",0)</f>
        <v>P-04</v>
      </c>
      <c r="D7" s="4" t="str">
        <f>VLOOKUP(Table1[[#This Row],[Kode Produk]],'Tabel Referensi'!$A$2:$B$6,2,FALSE)</f>
        <v>Monitor 27 Inch</v>
      </c>
      <c r="E7" s="11">
        <f>INDEX('Tabel Referensi'!$C$2:$C$6,MATCH(Table1[[#This Row],[Kode Produk]],'Tabel Referensi'!$A$2:$A$6,0))</f>
        <v>2100000</v>
      </c>
      <c r="F7" s="4" t="str">
        <f>INDEX('Tabel Referensi'!$D$2:$D$6,MATCH(Table1[[#This Row],[Kode Produk]],'Tabel Referensi'!$A$2:$A$6,0))</f>
        <v>Komputer</v>
      </c>
      <c r="G7" s="10">
        <f>_xlfn.XLOOKUP(Table1[[#This Row],[ID]],'Data Mentah'!$A$1:$A$101,'Data Mentah'!$D$1:$D$101,"",0)</f>
        <v>44951</v>
      </c>
      <c r="H7" s="4">
        <f>_xlfn.XLOOKUP(Table1[[#This Row],[ID]],'Data Mentah'!$A$1:$A$101,'Data Mentah'!$E$1:$E$101,"",0)</f>
        <v>1</v>
      </c>
      <c r="I7" s="11">
        <f>Table1[[#This Row],[Harga Satuan]]*Table1[[#This Row],[Quantity]]</f>
        <v>2100000</v>
      </c>
      <c r="J7" s="4" t="str">
        <f>INDEX('Data Mentah'!$F$2:$F$101,MATCH(Table1[[#This Row],[ID]],'Data Mentah'!$A$2:$A$101,0))</f>
        <v>Ya</v>
      </c>
      <c r="K7" s="4" t="str">
        <f>IF(AND(Table1[[#This Row],[Member]]="Ya",Table1[[#This Row],[Total Harga]]&gt;=1000000),"10%","0%")</f>
        <v>10%</v>
      </c>
      <c r="L7" s="12">
        <f>Table1[[#This Row],[Total Harga]]*Table1[[#This Row],[Status Diskon]]</f>
        <v>210000</v>
      </c>
      <c r="M7" s="5">
        <f>Table1[[#This Row],[Total Harga]]-Table1[[#This Row],[Nominal Diskon]]</f>
        <v>1890000</v>
      </c>
    </row>
    <row r="8" spans="1:13" x14ac:dyDescent="0.6">
      <c r="A8" s="3" t="s">
        <v>10</v>
      </c>
      <c r="B8" s="4" t="str">
        <f>PROPER(_xlfn.XLOOKUP(Table1[[#This Row],[ID]],'Data Mentah'!$A$2:$A$101,'Data Mentah'!$B$2:$B$101,"",0))</f>
        <v>Siti Aminah</v>
      </c>
      <c r="C8" s="4" t="str">
        <f>_xlfn.XLOOKUP(Table1[[#This Row],[ID]],'Data Mentah'!$A$2:$A$101,'Data Mentah'!$C$2:$C$101,"",0)</f>
        <v>P-02</v>
      </c>
      <c r="D8" s="4" t="str">
        <f>VLOOKUP(Table1[[#This Row],[Kode Produk]],'Tabel Referensi'!$A$2:$B$6,2,FALSE)</f>
        <v>Mouse Wireless</v>
      </c>
      <c r="E8" s="11">
        <f>INDEX('Tabel Referensi'!$C$2:$C$6,MATCH(Table1[[#This Row],[Kode Produk]],'Tabel Referensi'!$A$2:$A$6,0))</f>
        <v>150000</v>
      </c>
      <c r="F8" s="4" t="str">
        <f>INDEX('Tabel Referensi'!$D$2:$D$6,MATCH(Table1[[#This Row],[Kode Produk]],'Tabel Referensi'!$A$2:$A$6,0))</f>
        <v>Aksesoris</v>
      </c>
      <c r="G8" s="10">
        <f>_xlfn.XLOOKUP(Table1[[#This Row],[ID]],'Data Mentah'!$A$1:$A$101,'Data Mentah'!$D$1:$D$101,"",0)</f>
        <v>44972</v>
      </c>
      <c r="H8" s="4">
        <f>_xlfn.XLOOKUP(Table1[[#This Row],[ID]],'Data Mentah'!$A$1:$A$101,'Data Mentah'!$E$1:$E$101,"",0)</f>
        <v>1</v>
      </c>
      <c r="I8" s="11">
        <f>Table1[[#This Row],[Harga Satuan]]*Table1[[#This Row],[Quantity]]</f>
        <v>150000</v>
      </c>
      <c r="J8" s="4" t="str">
        <f>INDEX('Data Mentah'!$F$2:$F$101,MATCH(Table1[[#This Row],[ID]],'Data Mentah'!$A$2:$A$101,0))</f>
        <v>Tidak</v>
      </c>
      <c r="K8" s="4" t="str">
        <f>IF(AND(Table1[[#This Row],[Member]]="Ya",Table1[[#This Row],[Total Harga]]&gt;=1000000),"10%","0%")</f>
        <v>0%</v>
      </c>
      <c r="L8" s="12">
        <f>Table1[[#This Row],[Total Harga]]*Table1[[#This Row],[Status Diskon]]</f>
        <v>0</v>
      </c>
      <c r="M8" s="5">
        <f>Table1[[#This Row],[Total Harga]]-Table1[[#This Row],[Nominal Diskon]]</f>
        <v>150000</v>
      </c>
    </row>
    <row r="9" spans="1:13" x14ac:dyDescent="0.6">
      <c r="A9" s="3" t="s">
        <v>64</v>
      </c>
      <c r="B9" s="4" t="str">
        <f>PROPER(_xlfn.XLOOKUP(Table1[[#This Row],[ID]],'Data Mentah'!$A$2:$A$101,'Data Mentah'!$B$2:$B$101,"",0))</f>
        <v>Siti Aminah</v>
      </c>
      <c r="C9" s="4" t="str">
        <f>_xlfn.XLOOKUP(Table1[[#This Row],[ID]],'Data Mentah'!$A$2:$A$101,'Data Mentah'!$C$2:$C$101,"",0)</f>
        <v>P-03</v>
      </c>
      <c r="D9" s="4" t="str">
        <f>VLOOKUP(Table1[[#This Row],[Kode Produk]],'Tabel Referensi'!$A$2:$B$6,2,FALSE)</f>
        <v>Keyboard Mechanical</v>
      </c>
      <c r="E9" s="11">
        <f>INDEX('Tabel Referensi'!$C$2:$C$6,MATCH(Table1[[#This Row],[Kode Produk]],'Tabel Referensi'!$A$2:$A$6,0))</f>
        <v>450000</v>
      </c>
      <c r="F9" s="4" t="str">
        <f>INDEX('Tabel Referensi'!$D$2:$D$6,MATCH(Table1[[#This Row],[Kode Produk]],'Tabel Referensi'!$A$2:$A$6,0))</f>
        <v>Aksesoris</v>
      </c>
      <c r="G9" s="10">
        <f>_xlfn.XLOOKUP(Table1[[#This Row],[ID]],'Data Mentah'!$A$1:$A$101,'Data Mentah'!$D$1:$D$101,"",0)</f>
        <v>44975</v>
      </c>
      <c r="H9" s="4">
        <f>_xlfn.XLOOKUP(Table1[[#This Row],[ID]],'Data Mentah'!$A$1:$A$101,'Data Mentah'!$E$1:$E$101,"",0)</f>
        <v>2</v>
      </c>
      <c r="I9" s="11">
        <f>Table1[[#This Row],[Harga Satuan]]*Table1[[#This Row],[Quantity]]</f>
        <v>900000</v>
      </c>
      <c r="J9" s="4" t="str">
        <f>INDEX('Data Mentah'!$F$2:$F$101,MATCH(Table1[[#This Row],[ID]],'Data Mentah'!$A$2:$A$101,0))</f>
        <v>Tidak</v>
      </c>
      <c r="K9" s="4" t="str">
        <f>IF(AND(Table1[[#This Row],[Member]]="Ya",Table1[[#This Row],[Total Harga]]&gt;=1000000),"10%","0%")</f>
        <v>0%</v>
      </c>
      <c r="L9" s="12">
        <f>Table1[[#This Row],[Total Harga]]*Table1[[#This Row],[Status Diskon]]</f>
        <v>0</v>
      </c>
      <c r="M9" s="5">
        <f>Table1[[#This Row],[Total Harga]]-Table1[[#This Row],[Nominal Diskon]]</f>
        <v>900000</v>
      </c>
    </row>
    <row r="10" spans="1:13" x14ac:dyDescent="0.6">
      <c r="A10" s="3" t="s">
        <v>89</v>
      </c>
      <c r="B10" s="4" t="str">
        <f>PROPER(_xlfn.XLOOKUP(Table1[[#This Row],[ID]],'Data Mentah'!$A$2:$A$101,'Data Mentah'!$B$2:$B$101,"",0))</f>
        <v>Siti Aminah</v>
      </c>
      <c r="C10" s="4" t="str">
        <f>_xlfn.XLOOKUP(Table1[[#This Row],[ID]],'Data Mentah'!$A$2:$A$101,'Data Mentah'!$C$2:$C$101,"",0)</f>
        <v>P-04</v>
      </c>
      <c r="D10" s="4" t="str">
        <f>VLOOKUP(Table1[[#This Row],[Kode Produk]],'Tabel Referensi'!$A$2:$B$6,2,FALSE)</f>
        <v>Monitor 27 Inch</v>
      </c>
      <c r="E10" s="11">
        <f>INDEX('Tabel Referensi'!$C$2:$C$6,MATCH(Table1[[#This Row],[Kode Produk]],'Tabel Referensi'!$A$2:$A$6,0))</f>
        <v>2100000</v>
      </c>
      <c r="F10" s="4" t="str">
        <f>INDEX('Tabel Referensi'!$D$2:$D$6,MATCH(Table1[[#This Row],[Kode Produk]],'Tabel Referensi'!$A$2:$A$6,0))</f>
        <v>Komputer</v>
      </c>
      <c r="G10" s="10">
        <f>_xlfn.XLOOKUP(Table1[[#This Row],[ID]],'Data Mentah'!$A$1:$A$101,'Data Mentah'!$D$1:$D$101,"",0)</f>
        <v>44979</v>
      </c>
      <c r="H10" s="4">
        <f>_xlfn.XLOOKUP(Table1[[#This Row],[ID]],'Data Mentah'!$A$1:$A$101,'Data Mentah'!$E$1:$E$101,"",0)</f>
        <v>2</v>
      </c>
      <c r="I10" s="11">
        <f>Table1[[#This Row],[Harga Satuan]]*Table1[[#This Row],[Quantity]]</f>
        <v>4200000</v>
      </c>
      <c r="J10" s="4" t="str">
        <f>INDEX('Data Mentah'!$F$2:$F$101,MATCH(Table1[[#This Row],[ID]],'Data Mentah'!$A$2:$A$101,0))</f>
        <v>Tidak</v>
      </c>
      <c r="K10" s="4" t="str">
        <f>IF(AND(Table1[[#This Row],[Member]]="Ya",Table1[[#This Row],[Total Harga]]&gt;=1000000),"10%","0%")</f>
        <v>0%</v>
      </c>
      <c r="L10" s="12">
        <f>Table1[[#This Row],[Total Harga]]*Table1[[#This Row],[Status Diskon]]</f>
        <v>0</v>
      </c>
      <c r="M10" s="5">
        <f>Table1[[#This Row],[Total Harga]]-Table1[[#This Row],[Nominal Diskon]]</f>
        <v>4200000</v>
      </c>
    </row>
    <row r="11" spans="1:13" x14ac:dyDescent="0.6">
      <c r="A11" s="3" t="s">
        <v>114</v>
      </c>
      <c r="B11" s="4" t="str">
        <f>PROPER(_xlfn.XLOOKUP(Table1[[#This Row],[ID]],'Data Mentah'!$A$2:$A$101,'Data Mentah'!$B$2:$B$101,"",0))</f>
        <v>Siti Aminah</v>
      </c>
      <c r="C11" s="4" t="str">
        <f>_xlfn.XLOOKUP(Table1[[#This Row],[ID]],'Data Mentah'!$A$2:$A$101,'Data Mentah'!$C$2:$C$101,"",0)</f>
        <v>P-05</v>
      </c>
      <c r="D11" s="4" t="str">
        <f>VLOOKUP(Table1[[#This Row],[Kode Produk]],'Tabel Referensi'!$A$2:$B$6,2,FALSE)</f>
        <v>Flashdisk 64GB</v>
      </c>
      <c r="E11" s="11">
        <f>INDEX('Tabel Referensi'!$C$2:$C$6,MATCH(Table1[[#This Row],[Kode Produk]],'Tabel Referensi'!$A$2:$A$6,0))</f>
        <v>95000</v>
      </c>
      <c r="F11" s="4" t="str">
        <f>INDEX('Tabel Referensi'!$D$2:$D$6,MATCH(Table1[[#This Row],[Kode Produk]],'Tabel Referensi'!$A$2:$A$6,0))</f>
        <v>Aksesoris</v>
      </c>
      <c r="G11" s="10">
        <f>_xlfn.XLOOKUP(Table1[[#This Row],[ID]],'Data Mentah'!$A$1:$A$101,'Data Mentah'!$D$1:$D$101,"",0)</f>
        <v>44982</v>
      </c>
      <c r="H11" s="4">
        <f>_xlfn.XLOOKUP(Table1[[#This Row],[ID]],'Data Mentah'!$A$1:$A$101,'Data Mentah'!$E$1:$E$101,"",0)</f>
        <v>7</v>
      </c>
      <c r="I11" s="11">
        <f>Table1[[#This Row],[Harga Satuan]]*Table1[[#This Row],[Quantity]]</f>
        <v>665000</v>
      </c>
      <c r="J11" s="4" t="str">
        <f>INDEX('Data Mentah'!$F$2:$F$101,MATCH(Table1[[#This Row],[ID]],'Data Mentah'!$A$2:$A$101,0))</f>
        <v>Tidak</v>
      </c>
      <c r="K11" s="4" t="str">
        <f>IF(AND(Table1[[#This Row],[Member]]="Ya",Table1[[#This Row],[Total Harga]]&gt;=1000000),"10%","0%")</f>
        <v>0%</v>
      </c>
      <c r="L11" s="12">
        <f>Table1[[#This Row],[Total Harga]]*Table1[[#This Row],[Status Diskon]]</f>
        <v>0</v>
      </c>
      <c r="M11" s="5">
        <f>Table1[[#This Row],[Total Harga]]-Table1[[#This Row],[Nominal Diskon]]</f>
        <v>665000</v>
      </c>
    </row>
    <row r="12" spans="1:13" x14ac:dyDescent="0.6">
      <c r="A12" s="3" t="s">
        <v>14</v>
      </c>
      <c r="B12" s="4" t="str">
        <f>PROPER(_xlfn.XLOOKUP(Table1[[#This Row],[ID]],'Data Mentah'!$A$2:$A$101,'Data Mentah'!$B$2:$B$101,"",0))</f>
        <v>Andi Wijaya</v>
      </c>
      <c r="C12" s="4" t="str">
        <f>_xlfn.XLOOKUP(Table1[[#This Row],[ID]],'Data Mentah'!$A$2:$A$101,'Data Mentah'!$C$2:$C$101,"",0)</f>
        <v>P-03</v>
      </c>
      <c r="D12" s="4" t="str">
        <f>VLOOKUP(Table1[[#This Row],[Kode Produk]],'Tabel Referensi'!$A$2:$B$6,2,FALSE)</f>
        <v>Keyboard Mechanical</v>
      </c>
      <c r="E12" s="11">
        <f>INDEX('Tabel Referensi'!$C$2:$C$6,MATCH(Table1[[#This Row],[Kode Produk]],'Tabel Referensi'!$A$2:$A$6,0))</f>
        <v>450000</v>
      </c>
      <c r="F12" s="4" t="str">
        <f>INDEX('Tabel Referensi'!$D$2:$D$6,MATCH(Table1[[#This Row],[Kode Produk]],'Tabel Referensi'!$A$2:$A$6,0))</f>
        <v>Aksesoris</v>
      </c>
      <c r="G12" s="10">
        <f>_xlfn.XLOOKUP(Table1[[#This Row],[ID]],'Data Mentah'!$A$1:$A$101,'Data Mentah'!$D$1:$D$101,"",0)</f>
        <v>44995</v>
      </c>
      <c r="H12" s="4">
        <f>_xlfn.XLOOKUP(Table1[[#This Row],[ID]],'Data Mentah'!$A$1:$A$101,'Data Mentah'!$E$1:$E$101,"",0)</f>
        <v>3</v>
      </c>
      <c r="I12" s="11">
        <f>Table1[[#This Row],[Harga Satuan]]*Table1[[#This Row],[Quantity]]</f>
        <v>1350000</v>
      </c>
      <c r="J12" s="4" t="str">
        <f>INDEX('Data Mentah'!$F$2:$F$101,MATCH(Table1[[#This Row],[ID]],'Data Mentah'!$A$2:$A$101,0))</f>
        <v>Ya</v>
      </c>
      <c r="K12" s="4" t="str">
        <f>IF(AND(Table1[[#This Row],[Member]]="Ya",Table1[[#This Row],[Total Harga]]&gt;=1000000),"10%","0%")</f>
        <v>10%</v>
      </c>
      <c r="L12" s="12">
        <f>Table1[[#This Row],[Total Harga]]*Table1[[#This Row],[Status Diskon]]</f>
        <v>135000</v>
      </c>
      <c r="M12" s="5">
        <f>Table1[[#This Row],[Total Harga]]-Table1[[#This Row],[Nominal Diskon]]</f>
        <v>1215000</v>
      </c>
    </row>
    <row r="13" spans="1:13" x14ac:dyDescent="0.6">
      <c r="A13" s="3" t="s">
        <v>65</v>
      </c>
      <c r="B13" s="4" t="str">
        <f>PROPER(_xlfn.XLOOKUP(Table1[[#This Row],[ID]],'Data Mentah'!$A$2:$A$101,'Data Mentah'!$B$2:$B$101,"",0))</f>
        <v>Andi Wijaya</v>
      </c>
      <c r="C13" s="4" t="str">
        <f>_xlfn.XLOOKUP(Table1[[#This Row],[ID]],'Data Mentah'!$A$2:$A$101,'Data Mentah'!$C$2:$C$101,"",0)</f>
        <v>P-04</v>
      </c>
      <c r="D13" s="4" t="str">
        <f>VLOOKUP(Table1[[#This Row],[Kode Produk]],'Tabel Referensi'!$A$2:$B$6,2,FALSE)</f>
        <v>Monitor 27 Inch</v>
      </c>
      <c r="E13" s="11">
        <f>INDEX('Tabel Referensi'!$C$2:$C$6,MATCH(Table1[[#This Row],[Kode Produk]],'Tabel Referensi'!$A$2:$A$6,0))</f>
        <v>2100000</v>
      </c>
      <c r="F13" s="4" t="str">
        <f>INDEX('Tabel Referensi'!$D$2:$D$6,MATCH(Table1[[#This Row],[Kode Produk]],'Tabel Referensi'!$A$2:$A$6,0))</f>
        <v>Komputer</v>
      </c>
      <c r="G13" s="10">
        <f>_xlfn.XLOOKUP(Table1[[#This Row],[ID]],'Data Mentah'!$A$1:$A$101,'Data Mentah'!$D$1:$D$101,"",0)</f>
        <v>44997</v>
      </c>
      <c r="H13" s="4">
        <f>_xlfn.XLOOKUP(Table1[[#This Row],[ID]],'Data Mentah'!$A$1:$A$101,'Data Mentah'!$E$1:$E$101,"",0)</f>
        <v>1</v>
      </c>
      <c r="I13" s="11">
        <f>Table1[[#This Row],[Harga Satuan]]*Table1[[#This Row],[Quantity]]</f>
        <v>2100000</v>
      </c>
      <c r="J13" s="4" t="str">
        <f>INDEX('Data Mentah'!$F$2:$F$101,MATCH(Table1[[#This Row],[ID]],'Data Mentah'!$A$2:$A$101,0))</f>
        <v>Ya</v>
      </c>
      <c r="K13" s="4" t="str">
        <f>IF(AND(Table1[[#This Row],[Member]]="Ya",Table1[[#This Row],[Total Harga]]&gt;=1000000),"10%","0%")</f>
        <v>10%</v>
      </c>
      <c r="L13" s="12">
        <f>Table1[[#This Row],[Total Harga]]*Table1[[#This Row],[Status Diskon]]</f>
        <v>210000</v>
      </c>
      <c r="M13" s="5">
        <f>Table1[[#This Row],[Total Harga]]-Table1[[#This Row],[Nominal Diskon]]</f>
        <v>1890000</v>
      </c>
    </row>
    <row r="14" spans="1:13" x14ac:dyDescent="0.6">
      <c r="A14" s="3" t="s">
        <v>90</v>
      </c>
      <c r="B14" s="4" t="str">
        <f>PROPER(_xlfn.XLOOKUP(Table1[[#This Row],[ID]],'Data Mentah'!$A$2:$A$101,'Data Mentah'!$B$2:$B$101,"",0))</f>
        <v>Andi Wijaya</v>
      </c>
      <c r="C14" s="4" t="str">
        <f>_xlfn.XLOOKUP(Table1[[#This Row],[ID]],'Data Mentah'!$A$2:$A$101,'Data Mentah'!$C$2:$C$101,"",0)</f>
        <v>P-05</v>
      </c>
      <c r="D14" s="4" t="str">
        <f>VLOOKUP(Table1[[#This Row],[Kode Produk]],'Tabel Referensi'!$A$2:$B$6,2,FALSE)</f>
        <v>Flashdisk 64GB</v>
      </c>
      <c r="E14" s="11">
        <f>INDEX('Tabel Referensi'!$C$2:$C$6,MATCH(Table1[[#This Row],[Kode Produk]],'Tabel Referensi'!$A$2:$A$6,0))</f>
        <v>95000</v>
      </c>
      <c r="F14" s="4" t="str">
        <f>INDEX('Tabel Referensi'!$D$2:$D$6,MATCH(Table1[[#This Row],[Kode Produk]],'Tabel Referensi'!$A$2:$A$6,0))</f>
        <v>Aksesoris</v>
      </c>
      <c r="G14" s="10">
        <f>_xlfn.XLOOKUP(Table1[[#This Row],[ID]],'Data Mentah'!$A$1:$A$101,'Data Mentah'!$D$1:$D$101,"",0)</f>
        <v>45000</v>
      </c>
      <c r="H14" s="4">
        <f>_xlfn.XLOOKUP(Table1[[#This Row],[ID]],'Data Mentah'!$A$1:$A$101,'Data Mentah'!$E$1:$E$101,"",0)</f>
        <v>6</v>
      </c>
      <c r="I14" s="11">
        <f>Table1[[#This Row],[Harga Satuan]]*Table1[[#This Row],[Quantity]]</f>
        <v>570000</v>
      </c>
      <c r="J14" s="4" t="str">
        <f>INDEX('Data Mentah'!$F$2:$F$101,MATCH(Table1[[#This Row],[ID]],'Data Mentah'!$A$2:$A$101,0))</f>
        <v>Ya</v>
      </c>
      <c r="K14" s="4" t="str">
        <f>IF(AND(Table1[[#This Row],[Member]]="Ya",Table1[[#This Row],[Total Harga]]&gt;=1000000),"10%","0%")</f>
        <v>0%</v>
      </c>
      <c r="L14" s="12">
        <f>Table1[[#This Row],[Total Harga]]*Table1[[#This Row],[Status Diskon]]</f>
        <v>0</v>
      </c>
      <c r="M14" s="5">
        <f>Table1[[#This Row],[Total Harga]]-Table1[[#This Row],[Nominal Diskon]]</f>
        <v>570000</v>
      </c>
    </row>
    <row r="15" spans="1:13" x14ac:dyDescent="0.6">
      <c r="A15" s="3" t="s">
        <v>115</v>
      </c>
      <c r="B15" s="4" t="str">
        <f>PROPER(_xlfn.XLOOKUP(Table1[[#This Row],[ID]],'Data Mentah'!$A$2:$A$101,'Data Mentah'!$B$2:$B$101,"",0))</f>
        <v>Andi Wijaya</v>
      </c>
      <c r="C15" s="4" t="str">
        <f>_xlfn.XLOOKUP(Table1[[#This Row],[ID]],'Data Mentah'!$A$2:$A$101,'Data Mentah'!$C$2:$C$101,"",0)</f>
        <v>P-01</v>
      </c>
      <c r="D15" s="4" t="str">
        <f>VLOOKUP(Table1[[#This Row],[Kode Produk]],'Tabel Referensi'!$A$2:$B$6,2,FALSE)</f>
        <v>Laptop Pro 14</v>
      </c>
      <c r="E15" s="11">
        <f>INDEX('Tabel Referensi'!$C$2:$C$6,MATCH(Table1[[#This Row],[Kode Produk]],'Tabel Referensi'!$A$2:$A$6,0))</f>
        <v>12500000</v>
      </c>
      <c r="F15" s="4" t="str">
        <f>INDEX('Tabel Referensi'!$D$2:$D$6,MATCH(Table1[[#This Row],[Kode Produk]],'Tabel Referensi'!$A$2:$A$6,0))</f>
        <v>Komputer</v>
      </c>
      <c r="G15" s="10">
        <f>_xlfn.XLOOKUP(Table1[[#This Row],[ID]],'Data Mentah'!$A$1:$A$101,'Data Mentah'!$D$1:$D$101,"",0)</f>
        <v>45003</v>
      </c>
      <c r="H15" s="4">
        <f>_xlfn.XLOOKUP(Table1[[#This Row],[ID]],'Data Mentah'!$A$1:$A$101,'Data Mentah'!$E$1:$E$101,"",0)</f>
        <v>1</v>
      </c>
      <c r="I15" s="11">
        <f>Table1[[#This Row],[Harga Satuan]]*Table1[[#This Row],[Quantity]]</f>
        <v>12500000</v>
      </c>
      <c r="J15" s="4" t="str">
        <f>INDEX('Data Mentah'!$F$2:$F$101,MATCH(Table1[[#This Row],[ID]],'Data Mentah'!$A$2:$A$101,0))</f>
        <v>Ya</v>
      </c>
      <c r="K15" s="4" t="str">
        <f>IF(AND(Table1[[#This Row],[Member]]="Ya",Table1[[#This Row],[Total Harga]]&gt;=1000000),"10%","0%")</f>
        <v>10%</v>
      </c>
      <c r="L15" s="12">
        <f>Table1[[#This Row],[Total Harga]]*Table1[[#This Row],[Status Diskon]]</f>
        <v>1250000</v>
      </c>
      <c r="M15" s="5">
        <f>Table1[[#This Row],[Total Harga]]-Table1[[#This Row],[Nominal Diskon]]</f>
        <v>11250000</v>
      </c>
    </row>
    <row r="16" spans="1:13" x14ac:dyDescent="0.6">
      <c r="A16" s="3" t="s">
        <v>17</v>
      </c>
      <c r="B16" s="4" t="str">
        <f>PROPER(_xlfn.XLOOKUP(Table1[[#This Row],[ID]],'Data Mentah'!$A$2:$A$101,'Data Mentah'!$B$2:$B$101,"",0))</f>
        <v>Dewi Lestari</v>
      </c>
      <c r="C16" s="4" t="str">
        <f>_xlfn.XLOOKUP(Table1[[#This Row],[ID]],'Data Mentah'!$A$2:$A$101,'Data Mentah'!$C$2:$C$101,"",0)</f>
        <v>P-01</v>
      </c>
      <c r="D16" s="4" t="str">
        <f>VLOOKUP(Table1[[#This Row],[Kode Produk]],'Tabel Referensi'!$A$2:$B$6,2,FALSE)</f>
        <v>Laptop Pro 14</v>
      </c>
      <c r="E16" s="11">
        <f>INDEX('Tabel Referensi'!$C$2:$C$6,MATCH(Table1[[#This Row],[Kode Produk]],'Tabel Referensi'!$A$2:$A$6,0))</f>
        <v>12500000</v>
      </c>
      <c r="F16" s="4" t="str">
        <f>INDEX('Tabel Referensi'!$D$2:$D$6,MATCH(Table1[[#This Row],[Kode Produk]],'Tabel Referensi'!$A$2:$A$6,0))</f>
        <v>Komputer</v>
      </c>
      <c r="G16" s="10">
        <f>_xlfn.XLOOKUP(Table1[[#This Row],[ID]],'Data Mentah'!$A$1:$A$101,'Data Mentah'!$D$1:$D$101,"",0)</f>
        <v>45021</v>
      </c>
      <c r="H16" s="4">
        <f>_xlfn.XLOOKUP(Table1[[#This Row],[ID]],'Data Mentah'!$A$1:$A$101,'Data Mentah'!$E$1:$E$101,"",0)</f>
        <v>1</v>
      </c>
      <c r="I16" s="11">
        <f>Table1[[#This Row],[Harga Satuan]]*Table1[[#This Row],[Quantity]]</f>
        <v>12500000</v>
      </c>
      <c r="J16" s="4" t="str">
        <f>INDEX('Data Mentah'!$F$2:$F$101,MATCH(Table1[[#This Row],[ID]],'Data Mentah'!$A$2:$A$101,0))</f>
        <v>Tidak</v>
      </c>
      <c r="K16" s="4" t="str">
        <f>IF(AND(Table1[[#This Row],[Member]]="Ya",Table1[[#This Row],[Total Harga]]&gt;=1000000),"10%","0%")</f>
        <v>0%</v>
      </c>
      <c r="L16" s="12">
        <f>Table1[[#This Row],[Total Harga]]*Table1[[#This Row],[Status Diskon]]</f>
        <v>0</v>
      </c>
      <c r="M16" s="5">
        <f>Table1[[#This Row],[Total Harga]]-Table1[[#This Row],[Nominal Diskon]]</f>
        <v>12500000</v>
      </c>
    </row>
    <row r="17" spans="1:13" x14ac:dyDescent="0.6">
      <c r="A17" s="3" t="s">
        <v>66</v>
      </c>
      <c r="B17" s="4" t="str">
        <f>PROPER(_xlfn.XLOOKUP(Table1[[#This Row],[ID]],'Data Mentah'!$A$2:$A$101,'Data Mentah'!$B$2:$B$101,"",0))</f>
        <v>Dewi Lestari</v>
      </c>
      <c r="C17" s="4" t="str">
        <f>_xlfn.XLOOKUP(Table1[[#This Row],[ID]],'Data Mentah'!$A$2:$A$101,'Data Mentah'!$C$2:$C$101,"",0)</f>
        <v>P-05</v>
      </c>
      <c r="D17" s="4" t="str">
        <f>VLOOKUP(Table1[[#This Row],[Kode Produk]],'Tabel Referensi'!$A$2:$B$6,2,FALSE)</f>
        <v>Flashdisk 64GB</v>
      </c>
      <c r="E17" s="11">
        <f>INDEX('Tabel Referensi'!$C$2:$C$6,MATCH(Table1[[#This Row],[Kode Produk]],'Tabel Referensi'!$A$2:$A$6,0))</f>
        <v>95000</v>
      </c>
      <c r="F17" s="4" t="str">
        <f>INDEX('Tabel Referensi'!$D$2:$D$6,MATCH(Table1[[#This Row],[Kode Produk]],'Tabel Referensi'!$A$2:$A$6,0))</f>
        <v>Aksesoris</v>
      </c>
      <c r="G17" s="10">
        <f>_xlfn.XLOOKUP(Table1[[#This Row],[ID]],'Data Mentah'!$A$1:$A$101,'Data Mentah'!$D$1:$D$101,"",0)</f>
        <v>45024</v>
      </c>
      <c r="H17" s="4">
        <f>_xlfn.XLOOKUP(Table1[[#This Row],[ID]],'Data Mentah'!$A$1:$A$101,'Data Mentah'!$E$1:$E$101,"",0)</f>
        <v>4</v>
      </c>
      <c r="I17" s="11">
        <f>Table1[[#This Row],[Harga Satuan]]*Table1[[#This Row],[Quantity]]</f>
        <v>380000</v>
      </c>
      <c r="J17" s="4" t="str">
        <f>INDEX('Data Mentah'!$F$2:$F$101,MATCH(Table1[[#This Row],[ID]],'Data Mentah'!$A$2:$A$101,0))</f>
        <v>Tidak</v>
      </c>
      <c r="K17" s="4" t="str">
        <f>IF(AND(Table1[[#This Row],[Member]]="Ya",Table1[[#This Row],[Total Harga]]&gt;=1000000),"10%","0%")</f>
        <v>0%</v>
      </c>
      <c r="L17" s="12">
        <f>Table1[[#This Row],[Total Harga]]*Table1[[#This Row],[Status Diskon]]</f>
        <v>0</v>
      </c>
      <c r="M17" s="5">
        <f>Table1[[#This Row],[Total Harga]]-Table1[[#This Row],[Nominal Diskon]]</f>
        <v>380000</v>
      </c>
    </row>
    <row r="18" spans="1:13" x14ac:dyDescent="0.6">
      <c r="A18" s="3" t="s">
        <v>91</v>
      </c>
      <c r="B18" s="4" t="str">
        <f>PROPER(_xlfn.XLOOKUP(Table1[[#This Row],[ID]],'Data Mentah'!$A$2:$A$101,'Data Mentah'!$B$2:$B$101,"",0))</f>
        <v>Dewi Lestari</v>
      </c>
      <c r="C18" s="4" t="str">
        <f>_xlfn.XLOOKUP(Table1[[#This Row],[ID]],'Data Mentah'!$A$2:$A$101,'Data Mentah'!$C$2:$C$101,"",0)</f>
        <v>P-01</v>
      </c>
      <c r="D18" s="4" t="str">
        <f>VLOOKUP(Table1[[#This Row],[Kode Produk]],'Tabel Referensi'!$A$2:$B$6,2,FALSE)</f>
        <v>Laptop Pro 14</v>
      </c>
      <c r="E18" s="11">
        <f>INDEX('Tabel Referensi'!$C$2:$C$6,MATCH(Table1[[#This Row],[Kode Produk]],'Tabel Referensi'!$A$2:$A$6,0))</f>
        <v>12500000</v>
      </c>
      <c r="F18" s="4" t="str">
        <f>INDEX('Tabel Referensi'!$D$2:$D$6,MATCH(Table1[[#This Row],[Kode Produk]],'Tabel Referensi'!$A$2:$A$6,0))</f>
        <v>Komputer</v>
      </c>
      <c r="G18" s="10">
        <f>_xlfn.XLOOKUP(Table1[[#This Row],[ID]],'Data Mentah'!$A$1:$A$101,'Data Mentah'!$D$1:$D$101,"",0)</f>
        <v>45028</v>
      </c>
      <c r="H18" s="4">
        <f>_xlfn.XLOOKUP(Table1[[#This Row],[ID]],'Data Mentah'!$A$1:$A$101,'Data Mentah'!$E$1:$E$101,"",0)</f>
        <v>1</v>
      </c>
      <c r="I18" s="11">
        <f>Table1[[#This Row],[Harga Satuan]]*Table1[[#This Row],[Quantity]]</f>
        <v>12500000</v>
      </c>
      <c r="J18" s="4" t="str">
        <f>INDEX('Data Mentah'!$F$2:$F$101,MATCH(Table1[[#This Row],[ID]],'Data Mentah'!$A$2:$A$101,0))</f>
        <v>Tidak</v>
      </c>
      <c r="K18" s="4" t="str">
        <f>IF(AND(Table1[[#This Row],[Member]]="Ya",Table1[[#This Row],[Total Harga]]&gt;=1000000),"10%","0%")</f>
        <v>0%</v>
      </c>
      <c r="L18" s="12">
        <f>Table1[[#This Row],[Total Harga]]*Table1[[#This Row],[Status Diskon]]</f>
        <v>0</v>
      </c>
      <c r="M18" s="5">
        <f>Table1[[#This Row],[Total Harga]]-Table1[[#This Row],[Nominal Diskon]]</f>
        <v>12500000</v>
      </c>
    </row>
    <row r="19" spans="1:13" x14ac:dyDescent="0.6">
      <c r="A19" s="3" t="s">
        <v>116</v>
      </c>
      <c r="B19" s="4" t="str">
        <f>PROPER(_xlfn.XLOOKUP(Table1[[#This Row],[ID]],'Data Mentah'!$A$2:$A$101,'Data Mentah'!$B$2:$B$101,"",0))</f>
        <v>Dewi Lestari</v>
      </c>
      <c r="C19" s="4" t="str">
        <f>_xlfn.XLOOKUP(Table1[[#This Row],[ID]],'Data Mentah'!$A$2:$A$101,'Data Mentah'!$C$2:$C$101,"",0)</f>
        <v>P-02</v>
      </c>
      <c r="D19" s="4" t="str">
        <f>VLOOKUP(Table1[[#This Row],[Kode Produk]],'Tabel Referensi'!$A$2:$B$6,2,FALSE)</f>
        <v>Mouse Wireless</v>
      </c>
      <c r="E19" s="11">
        <f>INDEX('Tabel Referensi'!$C$2:$C$6,MATCH(Table1[[#This Row],[Kode Produk]],'Tabel Referensi'!$A$2:$A$6,0))</f>
        <v>150000</v>
      </c>
      <c r="F19" s="4" t="str">
        <f>INDEX('Tabel Referensi'!$D$2:$D$6,MATCH(Table1[[#This Row],[Kode Produk]],'Tabel Referensi'!$A$2:$A$6,0))</f>
        <v>Aksesoris</v>
      </c>
      <c r="G19" s="10">
        <f>_xlfn.XLOOKUP(Table1[[#This Row],[ID]],'Data Mentah'!$A$1:$A$101,'Data Mentah'!$D$1:$D$101,"",0)</f>
        <v>45031</v>
      </c>
      <c r="H19" s="4">
        <f>_xlfn.XLOOKUP(Table1[[#This Row],[ID]],'Data Mentah'!$A$1:$A$101,'Data Mentah'!$E$1:$E$101,"",0)</f>
        <v>3</v>
      </c>
      <c r="I19" s="11">
        <f>Table1[[#This Row],[Harga Satuan]]*Table1[[#This Row],[Quantity]]</f>
        <v>450000</v>
      </c>
      <c r="J19" s="4" t="str">
        <f>INDEX('Data Mentah'!$F$2:$F$101,MATCH(Table1[[#This Row],[ID]],'Data Mentah'!$A$2:$A$101,0))</f>
        <v>Tidak</v>
      </c>
      <c r="K19" s="4" t="str">
        <f>IF(AND(Table1[[#This Row],[Member]]="Ya",Table1[[#This Row],[Total Harga]]&gt;=1000000),"10%","0%")</f>
        <v>0%</v>
      </c>
      <c r="L19" s="12">
        <f>Table1[[#This Row],[Total Harga]]*Table1[[#This Row],[Status Diskon]]</f>
        <v>0</v>
      </c>
      <c r="M19" s="5">
        <f>Table1[[#This Row],[Total Harga]]-Table1[[#This Row],[Nominal Diskon]]</f>
        <v>450000</v>
      </c>
    </row>
    <row r="20" spans="1:13" x14ac:dyDescent="0.6">
      <c r="A20" s="3" t="s">
        <v>19</v>
      </c>
      <c r="B20" s="4" t="str">
        <f>PROPER(_xlfn.XLOOKUP(Table1[[#This Row],[ID]],'Data Mentah'!$A$2:$A$101,'Data Mentah'!$B$2:$B$101,"",0))</f>
        <v>Eko Prasetyo</v>
      </c>
      <c r="C20" s="4" t="str">
        <f>_xlfn.XLOOKUP(Table1[[#This Row],[ID]],'Data Mentah'!$A$2:$A$101,'Data Mentah'!$C$2:$C$101,"",0)</f>
        <v>P-04</v>
      </c>
      <c r="D20" s="4" t="str">
        <f>VLOOKUP(Table1[[#This Row],[Kode Produk]],'Tabel Referensi'!$A$2:$B$6,2,FALSE)</f>
        <v>Monitor 27 Inch</v>
      </c>
      <c r="E20" s="11">
        <f>INDEX('Tabel Referensi'!$C$2:$C$6,MATCH(Table1[[#This Row],[Kode Produk]],'Tabel Referensi'!$A$2:$A$6,0))</f>
        <v>2100000</v>
      </c>
      <c r="F20" s="4" t="str">
        <f>INDEX('Tabel Referensi'!$D$2:$D$6,MATCH(Table1[[#This Row],[Kode Produk]],'Tabel Referensi'!$A$2:$A$6,0))</f>
        <v>Komputer</v>
      </c>
      <c r="G20" s="10">
        <f>_xlfn.XLOOKUP(Table1[[#This Row],[ID]],'Data Mentah'!$A$1:$A$101,'Data Mentah'!$D$1:$D$101,"",0)</f>
        <v>45058</v>
      </c>
      <c r="H20" s="4">
        <f>_xlfn.XLOOKUP(Table1[[#This Row],[ID]],'Data Mentah'!$A$1:$A$101,'Data Mentah'!$E$1:$E$101,"",0)</f>
        <v>2</v>
      </c>
      <c r="I20" s="11">
        <f>Table1[[#This Row],[Harga Satuan]]*Table1[[#This Row],[Quantity]]</f>
        <v>4200000</v>
      </c>
      <c r="J20" s="4" t="str">
        <f>INDEX('Data Mentah'!$F$2:$F$101,MATCH(Table1[[#This Row],[ID]],'Data Mentah'!$A$2:$A$101,0))</f>
        <v>Ya</v>
      </c>
      <c r="K20" s="4" t="str">
        <f>IF(AND(Table1[[#This Row],[Member]]="Ya",Table1[[#This Row],[Total Harga]]&gt;=1000000),"10%","0%")</f>
        <v>10%</v>
      </c>
      <c r="L20" s="12">
        <f>Table1[[#This Row],[Total Harga]]*Table1[[#This Row],[Status Diskon]]</f>
        <v>420000</v>
      </c>
      <c r="M20" s="5">
        <f>Table1[[#This Row],[Total Harga]]-Table1[[#This Row],[Nominal Diskon]]</f>
        <v>3780000</v>
      </c>
    </row>
    <row r="21" spans="1:13" x14ac:dyDescent="0.6">
      <c r="A21" s="3" t="s">
        <v>67</v>
      </c>
      <c r="B21" s="4" t="str">
        <f>PROPER(_xlfn.XLOOKUP(Table1[[#This Row],[ID]],'Data Mentah'!$A$2:$A$101,'Data Mentah'!$B$2:$B$101,"",0))</f>
        <v>Eko Prasetyo</v>
      </c>
      <c r="C21" s="4" t="str">
        <f>_xlfn.XLOOKUP(Table1[[#This Row],[ID]],'Data Mentah'!$A$2:$A$101,'Data Mentah'!$C$2:$C$101,"",0)</f>
        <v>P-01</v>
      </c>
      <c r="D21" s="4" t="str">
        <f>VLOOKUP(Table1[[#This Row],[Kode Produk]],'Tabel Referensi'!$A$2:$B$6,2,FALSE)</f>
        <v>Laptop Pro 14</v>
      </c>
      <c r="E21" s="11">
        <f>INDEX('Tabel Referensi'!$C$2:$C$6,MATCH(Table1[[#This Row],[Kode Produk]],'Tabel Referensi'!$A$2:$A$6,0))</f>
        <v>12500000</v>
      </c>
      <c r="F21" s="4" t="str">
        <f>INDEX('Tabel Referensi'!$D$2:$D$6,MATCH(Table1[[#This Row],[Kode Produk]],'Tabel Referensi'!$A$2:$A$6,0))</f>
        <v>Komputer</v>
      </c>
      <c r="G21" s="10">
        <f>_xlfn.XLOOKUP(Table1[[#This Row],[ID]],'Data Mentah'!$A$1:$A$101,'Data Mentah'!$D$1:$D$101,"",0)</f>
        <v>45061</v>
      </c>
      <c r="H21" s="4">
        <f>_xlfn.XLOOKUP(Table1[[#This Row],[ID]],'Data Mentah'!$A$1:$A$101,'Data Mentah'!$E$1:$E$101,"",0)</f>
        <v>2</v>
      </c>
      <c r="I21" s="11">
        <f>Table1[[#This Row],[Harga Satuan]]*Table1[[#This Row],[Quantity]]</f>
        <v>25000000</v>
      </c>
      <c r="J21" s="4" t="str">
        <f>INDEX('Data Mentah'!$F$2:$F$101,MATCH(Table1[[#This Row],[ID]],'Data Mentah'!$A$2:$A$101,0))</f>
        <v>Ya</v>
      </c>
      <c r="K21" s="4" t="str">
        <f>IF(AND(Table1[[#This Row],[Member]]="Ya",Table1[[#This Row],[Total Harga]]&gt;=1000000),"10%","0%")</f>
        <v>10%</v>
      </c>
      <c r="L21" s="12">
        <f>Table1[[#This Row],[Total Harga]]*Table1[[#This Row],[Status Diskon]]</f>
        <v>2500000</v>
      </c>
      <c r="M21" s="5">
        <f>Table1[[#This Row],[Total Harga]]-Table1[[#This Row],[Nominal Diskon]]</f>
        <v>22500000</v>
      </c>
    </row>
    <row r="22" spans="1:13" x14ac:dyDescent="0.6">
      <c r="A22" s="3" t="s">
        <v>92</v>
      </c>
      <c r="B22" s="4" t="str">
        <f>PROPER(_xlfn.XLOOKUP(Table1[[#This Row],[ID]],'Data Mentah'!$A$2:$A$101,'Data Mentah'!$B$2:$B$101,"",0))</f>
        <v>Eko Prasetyo</v>
      </c>
      <c r="C22" s="4" t="str">
        <f>_xlfn.XLOOKUP(Table1[[#This Row],[ID]],'Data Mentah'!$A$2:$A$101,'Data Mentah'!$C$2:$C$101,"",0)</f>
        <v>P-02</v>
      </c>
      <c r="D22" s="4" t="str">
        <f>VLOOKUP(Table1[[#This Row],[Kode Produk]],'Tabel Referensi'!$A$2:$B$6,2,FALSE)</f>
        <v>Mouse Wireless</v>
      </c>
      <c r="E22" s="11">
        <f>INDEX('Tabel Referensi'!$C$2:$C$6,MATCH(Table1[[#This Row],[Kode Produk]],'Tabel Referensi'!$A$2:$A$6,0))</f>
        <v>150000</v>
      </c>
      <c r="F22" s="4" t="str">
        <f>INDEX('Tabel Referensi'!$D$2:$D$6,MATCH(Table1[[#This Row],[Kode Produk]],'Tabel Referensi'!$A$2:$A$6,0))</f>
        <v>Aksesoris</v>
      </c>
      <c r="G22" s="10">
        <f>_xlfn.XLOOKUP(Table1[[#This Row],[ID]],'Data Mentah'!$A$1:$A$101,'Data Mentah'!$D$1:$D$101,"",0)</f>
        <v>45064</v>
      </c>
      <c r="H22" s="4">
        <f>_xlfn.XLOOKUP(Table1[[#This Row],[ID]],'Data Mentah'!$A$1:$A$101,'Data Mentah'!$E$1:$E$101,"",0)</f>
        <v>3</v>
      </c>
      <c r="I22" s="11">
        <f>Table1[[#This Row],[Harga Satuan]]*Table1[[#This Row],[Quantity]]</f>
        <v>450000</v>
      </c>
      <c r="J22" s="4" t="str">
        <f>INDEX('Data Mentah'!$F$2:$F$101,MATCH(Table1[[#This Row],[ID]],'Data Mentah'!$A$2:$A$101,0))</f>
        <v>Ya</v>
      </c>
      <c r="K22" s="4" t="str">
        <f>IF(AND(Table1[[#This Row],[Member]]="Ya",Table1[[#This Row],[Total Harga]]&gt;=1000000),"10%","0%")</f>
        <v>0%</v>
      </c>
      <c r="L22" s="12">
        <f>Table1[[#This Row],[Total Harga]]*Table1[[#This Row],[Status Diskon]]</f>
        <v>0</v>
      </c>
      <c r="M22" s="5">
        <f>Table1[[#This Row],[Total Harga]]-Table1[[#This Row],[Nominal Diskon]]</f>
        <v>450000</v>
      </c>
    </row>
    <row r="23" spans="1:13" x14ac:dyDescent="0.6">
      <c r="A23" s="3" t="s">
        <v>117</v>
      </c>
      <c r="B23" s="4" t="str">
        <f>PROPER(_xlfn.XLOOKUP(Table1[[#This Row],[ID]],'Data Mentah'!$A$2:$A$101,'Data Mentah'!$B$2:$B$101,"",0))</f>
        <v>Eko Prasetyo</v>
      </c>
      <c r="C23" s="4" t="str">
        <f>_xlfn.XLOOKUP(Table1[[#This Row],[ID]],'Data Mentah'!$A$2:$A$101,'Data Mentah'!$C$2:$C$101,"",0)</f>
        <v>P-03</v>
      </c>
      <c r="D23" s="4" t="str">
        <f>VLOOKUP(Table1[[#This Row],[Kode Produk]],'Tabel Referensi'!$A$2:$B$6,2,FALSE)</f>
        <v>Keyboard Mechanical</v>
      </c>
      <c r="E23" s="11">
        <f>INDEX('Tabel Referensi'!$C$2:$C$6,MATCH(Table1[[#This Row],[Kode Produk]],'Tabel Referensi'!$A$2:$A$6,0))</f>
        <v>450000</v>
      </c>
      <c r="F23" s="4" t="str">
        <f>INDEX('Tabel Referensi'!$D$2:$D$6,MATCH(Table1[[#This Row],[Kode Produk]],'Tabel Referensi'!$A$2:$A$6,0))</f>
        <v>Aksesoris</v>
      </c>
      <c r="G23" s="10">
        <f>_xlfn.XLOOKUP(Table1[[#This Row],[ID]],'Data Mentah'!$A$1:$A$101,'Data Mentah'!$D$1:$D$101,"",0)</f>
        <v>45068</v>
      </c>
      <c r="H23" s="4">
        <f>_xlfn.XLOOKUP(Table1[[#This Row],[ID]],'Data Mentah'!$A$1:$A$101,'Data Mentah'!$E$1:$E$101,"",0)</f>
        <v>2</v>
      </c>
      <c r="I23" s="11">
        <f>Table1[[#This Row],[Harga Satuan]]*Table1[[#This Row],[Quantity]]</f>
        <v>900000</v>
      </c>
      <c r="J23" s="4" t="str">
        <f>INDEX('Data Mentah'!$F$2:$F$101,MATCH(Table1[[#This Row],[ID]],'Data Mentah'!$A$2:$A$101,0))</f>
        <v>Ya</v>
      </c>
      <c r="K23" s="4" t="str">
        <f>IF(AND(Table1[[#This Row],[Member]]="Ya",Table1[[#This Row],[Total Harga]]&gt;=1000000),"10%","0%")</f>
        <v>0%</v>
      </c>
      <c r="L23" s="12">
        <f>Table1[[#This Row],[Total Harga]]*Table1[[#This Row],[Status Diskon]]</f>
        <v>0</v>
      </c>
      <c r="M23" s="5">
        <f>Table1[[#This Row],[Total Harga]]-Table1[[#This Row],[Nominal Diskon]]</f>
        <v>900000</v>
      </c>
    </row>
    <row r="24" spans="1:13" x14ac:dyDescent="0.6">
      <c r="A24" s="3" t="s">
        <v>22</v>
      </c>
      <c r="B24" s="4" t="str">
        <f>PROPER(_xlfn.XLOOKUP(Table1[[#This Row],[ID]],'Data Mentah'!$A$2:$A$101,'Data Mentah'!$B$2:$B$101,"",0))</f>
        <v>Rina Mr</v>
      </c>
      <c r="C24" s="4" t="str">
        <f>_xlfn.XLOOKUP(Table1[[#This Row],[ID]],'Data Mentah'!$A$2:$A$101,'Data Mentah'!$C$2:$C$101,"",0)</f>
        <v>P-05</v>
      </c>
      <c r="D24" s="4" t="str">
        <f>VLOOKUP(Table1[[#This Row],[Kode Produk]],'Tabel Referensi'!$A$2:$B$6,2,FALSE)</f>
        <v>Flashdisk 64GB</v>
      </c>
      <c r="E24" s="11">
        <f>INDEX('Tabel Referensi'!$C$2:$C$6,MATCH(Table1[[#This Row],[Kode Produk]],'Tabel Referensi'!$A$2:$A$6,0))</f>
        <v>95000</v>
      </c>
      <c r="F24" s="4" t="str">
        <f>INDEX('Tabel Referensi'!$D$2:$D$6,MATCH(Table1[[#This Row],[Kode Produk]],'Tabel Referensi'!$A$2:$A$6,0))</f>
        <v>Aksesoris</v>
      </c>
      <c r="G24" s="10">
        <f>_xlfn.XLOOKUP(Table1[[#This Row],[ID]],'Data Mentah'!$A$1:$A$101,'Data Mentah'!$D$1:$D$101,"",0)</f>
        <v>45097</v>
      </c>
      <c r="H24" s="4">
        <f>_xlfn.XLOOKUP(Table1[[#This Row],[ID]],'Data Mentah'!$A$1:$A$101,'Data Mentah'!$E$1:$E$101,"",0)</f>
        <v>5</v>
      </c>
      <c r="I24" s="11">
        <f>Table1[[#This Row],[Harga Satuan]]*Table1[[#This Row],[Quantity]]</f>
        <v>475000</v>
      </c>
      <c r="J24" s="4" t="str">
        <f>INDEX('Data Mentah'!$F$2:$F$101,MATCH(Table1[[#This Row],[ID]],'Data Mentah'!$A$2:$A$101,0))</f>
        <v>Tidak</v>
      </c>
      <c r="K24" s="4" t="str">
        <f>IF(AND(Table1[[#This Row],[Member]]="Ya",Table1[[#This Row],[Total Harga]]&gt;=1000000),"10%","0%")</f>
        <v>0%</v>
      </c>
      <c r="L24" s="12">
        <f>Table1[[#This Row],[Total Harga]]*Table1[[#This Row],[Status Diskon]]</f>
        <v>0</v>
      </c>
      <c r="M24" s="5">
        <f>Table1[[#This Row],[Total Harga]]-Table1[[#This Row],[Nominal Diskon]]</f>
        <v>475000</v>
      </c>
    </row>
    <row r="25" spans="1:13" x14ac:dyDescent="0.6">
      <c r="A25" s="3" t="s">
        <v>68</v>
      </c>
      <c r="B25" s="4" t="str">
        <f>PROPER(_xlfn.XLOOKUP(Table1[[#This Row],[ID]],'Data Mentah'!$A$2:$A$101,'Data Mentah'!$B$2:$B$101,"",0))</f>
        <v>Rina Mr</v>
      </c>
      <c r="C25" s="4" t="str">
        <f>_xlfn.XLOOKUP(Table1[[#This Row],[ID]],'Data Mentah'!$A$2:$A$101,'Data Mentah'!$C$2:$C$101,"",0)</f>
        <v>P-02</v>
      </c>
      <c r="D25" s="4" t="str">
        <f>VLOOKUP(Table1[[#This Row],[Kode Produk]],'Tabel Referensi'!$A$2:$B$6,2,FALSE)</f>
        <v>Mouse Wireless</v>
      </c>
      <c r="E25" s="11">
        <f>INDEX('Tabel Referensi'!$C$2:$C$6,MATCH(Table1[[#This Row],[Kode Produk]],'Tabel Referensi'!$A$2:$A$6,0))</f>
        <v>150000</v>
      </c>
      <c r="F25" s="4" t="str">
        <f>INDEX('Tabel Referensi'!$D$2:$D$6,MATCH(Table1[[#This Row],[Kode Produk]],'Tabel Referensi'!$A$2:$A$6,0))</f>
        <v>Aksesoris</v>
      </c>
      <c r="G25" s="10">
        <f>_xlfn.XLOOKUP(Table1[[#This Row],[ID]],'Data Mentah'!$A$1:$A$101,'Data Mentah'!$D$1:$D$101,"",0)</f>
        <v>45099</v>
      </c>
      <c r="H25" s="4">
        <f>_xlfn.XLOOKUP(Table1[[#This Row],[ID]],'Data Mentah'!$A$1:$A$101,'Data Mentah'!$E$1:$E$101,"",0)</f>
        <v>3</v>
      </c>
      <c r="I25" s="11">
        <f>Table1[[#This Row],[Harga Satuan]]*Table1[[#This Row],[Quantity]]</f>
        <v>450000</v>
      </c>
      <c r="J25" s="4" t="str">
        <f>INDEX('Data Mentah'!$F$2:$F$101,MATCH(Table1[[#This Row],[ID]],'Data Mentah'!$A$2:$A$101,0))</f>
        <v>Tidak</v>
      </c>
      <c r="K25" s="4" t="str">
        <f>IF(AND(Table1[[#This Row],[Member]]="Ya",Table1[[#This Row],[Total Harga]]&gt;=1000000),"10%","0%")</f>
        <v>0%</v>
      </c>
      <c r="L25" s="12">
        <f>Table1[[#This Row],[Total Harga]]*Table1[[#This Row],[Status Diskon]]</f>
        <v>0</v>
      </c>
      <c r="M25" s="5">
        <f>Table1[[#This Row],[Total Harga]]-Table1[[#This Row],[Nominal Diskon]]</f>
        <v>450000</v>
      </c>
    </row>
    <row r="26" spans="1:13" x14ac:dyDescent="0.6">
      <c r="A26" s="3" t="s">
        <v>93</v>
      </c>
      <c r="B26" s="4" t="str">
        <f>PROPER(_xlfn.XLOOKUP(Table1[[#This Row],[ID]],'Data Mentah'!$A$2:$A$101,'Data Mentah'!$B$2:$B$101,"",0))</f>
        <v>Rina Mr</v>
      </c>
      <c r="C26" s="4" t="str">
        <f>_xlfn.XLOOKUP(Table1[[#This Row],[ID]],'Data Mentah'!$A$2:$A$101,'Data Mentah'!$C$2:$C$101,"",0)</f>
        <v>P-03</v>
      </c>
      <c r="D26" s="4" t="str">
        <f>VLOOKUP(Table1[[#This Row],[Kode Produk]],'Tabel Referensi'!$A$2:$B$6,2,FALSE)</f>
        <v>Keyboard Mechanical</v>
      </c>
      <c r="E26" s="11">
        <f>INDEX('Tabel Referensi'!$C$2:$C$6,MATCH(Table1[[#This Row],[Kode Produk]],'Tabel Referensi'!$A$2:$A$6,0))</f>
        <v>450000</v>
      </c>
      <c r="F26" s="4" t="str">
        <f>INDEX('Tabel Referensi'!$D$2:$D$6,MATCH(Table1[[#This Row],[Kode Produk]],'Tabel Referensi'!$A$2:$A$6,0))</f>
        <v>Aksesoris</v>
      </c>
      <c r="G26" s="10">
        <f>_xlfn.XLOOKUP(Table1[[#This Row],[ID]],'Data Mentah'!$A$1:$A$101,'Data Mentah'!$D$1:$D$101,"",0)</f>
        <v>45102</v>
      </c>
      <c r="H26" s="4">
        <f>_xlfn.XLOOKUP(Table1[[#This Row],[ID]],'Data Mentah'!$A$1:$A$101,'Data Mentah'!$E$1:$E$101,"",0)</f>
        <v>1</v>
      </c>
      <c r="I26" s="11">
        <f>Table1[[#This Row],[Harga Satuan]]*Table1[[#This Row],[Quantity]]</f>
        <v>450000</v>
      </c>
      <c r="J26" s="4" t="str">
        <f>INDEX('Data Mentah'!$F$2:$F$101,MATCH(Table1[[#This Row],[ID]],'Data Mentah'!$A$2:$A$101,0))</f>
        <v>Tidak</v>
      </c>
      <c r="K26" s="4" t="str">
        <f>IF(AND(Table1[[#This Row],[Member]]="Ya",Table1[[#This Row],[Total Harga]]&gt;=1000000),"10%","0%")</f>
        <v>0%</v>
      </c>
      <c r="L26" s="12">
        <f>Table1[[#This Row],[Total Harga]]*Table1[[#This Row],[Status Diskon]]</f>
        <v>0</v>
      </c>
      <c r="M26" s="5">
        <f>Table1[[#This Row],[Total Harga]]-Table1[[#This Row],[Nominal Diskon]]</f>
        <v>450000</v>
      </c>
    </row>
    <row r="27" spans="1:13" x14ac:dyDescent="0.6">
      <c r="A27" s="3" t="s">
        <v>118</v>
      </c>
      <c r="B27" s="4" t="str">
        <f>PROPER(_xlfn.XLOOKUP(Table1[[#This Row],[ID]],'Data Mentah'!$A$2:$A$101,'Data Mentah'!$B$2:$B$101,"",0))</f>
        <v>Rina Mr</v>
      </c>
      <c r="C27" s="4" t="str">
        <f>_xlfn.XLOOKUP(Table1[[#This Row],[ID]],'Data Mentah'!$A$2:$A$101,'Data Mentah'!$C$2:$C$101,"",0)</f>
        <v>P-04</v>
      </c>
      <c r="D27" s="4" t="str">
        <f>VLOOKUP(Table1[[#This Row],[Kode Produk]],'Tabel Referensi'!$A$2:$B$6,2,FALSE)</f>
        <v>Monitor 27 Inch</v>
      </c>
      <c r="E27" s="11">
        <f>INDEX('Tabel Referensi'!$C$2:$C$6,MATCH(Table1[[#This Row],[Kode Produk]],'Tabel Referensi'!$A$2:$A$6,0))</f>
        <v>2100000</v>
      </c>
      <c r="F27" s="4" t="str">
        <f>INDEX('Tabel Referensi'!$D$2:$D$6,MATCH(Table1[[#This Row],[Kode Produk]],'Tabel Referensi'!$A$2:$A$6,0))</f>
        <v>Komputer</v>
      </c>
      <c r="G27" s="10">
        <f>_xlfn.XLOOKUP(Table1[[#This Row],[ID]],'Data Mentah'!$A$1:$A$101,'Data Mentah'!$D$1:$D$101,"",0)</f>
        <v>45105</v>
      </c>
      <c r="H27" s="4">
        <f>_xlfn.XLOOKUP(Table1[[#This Row],[ID]],'Data Mentah'!$A$1:$A$101,'Data Mentah'!$E$1:$E$101,"",0)</f>
        <v>1</v>
      </c>
      <c r="I27" s="11">
        <f>Table1[[#This Row],[Harga Satuan]]*Table1[[#This Row],[Quantity]]</f>
        <v>2100000</v>
      </c>
      <c r="J27" s="4" t="str">
        <f>INDEX('Data Mentah'!$F$2:$F$101,MATCH(Table1[[#This Row],[ID]],'Data Mentah'!$A$2:$A$101,0))</f>
        <v>Tidak</v>
      </c>
      <c r="K27" s="4" t="str">
        <f>IF(AND(Table1[[#This Row],[Member]]="Ya",Table1[[#This Row],[Total Harga]]&gt;=1000000),"10%","0%")</f>
        <v>0%</v>
      </c>
      <c r="L27" s="12">
        <f>Table1[[#This Row],[Total Harga]]*Table1[[#This Row],[Status Diskon]]</f>
        <v>0</v>
      </c>
      <c r="M27" s="5">
        <f>Table1[[#This Row],[Total Harga]]-Table1[[#This Row],[Nominal Diskon]]</f>
        <v>2100000</v>
      </c>
    </row>
    <row r="28" spans="1:13" x14ac:dyDescent="0.6">
      <c r="A28" s="3" t="s">
        <v>25</v>
      </c>
      <c r="B28" s="4" t="str">
        <f>PROPER(_xlfn.XLOOKUP(Table1[[#This Row],[ID]],'Data Mentah'!$A$2:$A$101,'Data Mentah'!$B$2:$B$101,"",0))</f>
        <v>Agus Supriyadi</v>
      </c>
      <c r="C28" s="4" t="str">
        <f>_xlfn.XLOOKUP(Table1[[#This Row],[ID]],'Data Mentah'!$A$2:$A$101,'Data Mentah'!$C$2:$C$101,"",0)</f>
        <v>P-02</v>
      </c>
      <c r="D28" s="4" t="str">
        <f>VLOOKUP(Table1[[#This Row],[Kode Produk]],'Tabel Referensi'!$A$2:$B$6,2,FALSE)</f>
        <v>Mouse Wireless</v>
      </c>
      <c r="E28" s="11">
        <f>INDEX('Tabel Referensi'!$C$2:$C$6,MATCH(Table1[[#This Row],[Kode Produk]],'Tabel Referensi'!$A$2:$A$6,0))</f>
        <v>150000</v>
      </c>
      <c r="F28" s="4" t="str">
        <f>INDEX('Tabel Referensi'!$D$2:$D$6,MATCH(Table1[[#This Row],[Kode Produk]],'Tabel Referensi'!$A$2:$A$6,0))</f>
        <v>Aksesoris</v>
      </c>
      <c r="G28" s="10">
        <f>_xlfn.XLOOKUP(Table1[[#This Row],[ID]],'Data Mentah'!$A$1:$A$101,'Data Mentah'!$D$1:$D$101,"",0)</f>
        <v>45129</v>
      </c>
      <c r="H28" s="4">
        <f>_xlfn.XLOOKUP(Table1[[#This Row],[ID]],'Data Mentah'!$A$1:$A$101,'Data Mentah'!$E$1:$E$101,"",0)</f>
        <v>10</v>
      </c>
      <c r="I28" s="11">
        <f>Table1[[#This Row],[Harga Satuan]]*Table1[[#This Row],[Quantity]]</f>
        <v>1500000</v>
      </c>
      <c r="J28" s="4" t="str">
        <f>INDEX('Data Mentah'!$F$2:$F$101,MATCH(Table1[[#This Row],[ID]],'Data Mentah'!$A$2:$A$101,0))</f>
        <v>Ya</v>
      </c>
      <c r="K28" s="4" t="str">
        <f>IF(AND(Table1[[#This Row],[Member]]="Ya",Table1[[#This Row],[Total Harga]]&gt;=1000000),"10%","0%")</f>
        <v>10%</v>
      </c>
      <c r="L28" s="12">
        <f>Table1[[#This Row],[Total Harga]]*Table1[[#This Row],[Status Diskon]]</f>
        <v>150000</v>
      </c>
      <c r="M28" s="5">
        <f>Table1[[#This Row],[Total Harga]]-Table1[[#This Row],[Nominal Diskon]]</f>
        <v>1350000</v>
      </c>
    </row>
    <row r="29" spans="1:13" x14ac:dyDescent="0.6">
      <c r="A29" s="3" t="s">
        <v>69</v>
      </c>
      <c r="B29" s="4" t="str">
        <f>PROPER(_xlfn.XLOOKUP(Table1[[#This Row],[ID]],'Data Mentah'!$A$2:$A$101,'Data Mentah'!$B$2:$B$101,"",0))</f>
        <v>Agus Supriyadi</v>
      </c>
      <c r="C29" s="4" t="str">
        <f>_xlfn.XLOOKUP(Table1[[#This Row],[ID]],'Data Mentah'!$A$2:$A$101,'Data Mentah'!$C$2:$C$101,"",0)</f>
        <v>P-03</v>
      </c>
      <c r="D29" s="4" t="str">
        <f>VLOOKUP(Table1[[#This Row],[Kode Produk]],'Tabel Referensi'!$A$2:$B$6,2,FALSE)</f>
        <v>Keyboard Mechanical</v>
      </c>
      <c r="E29" s="11">
        <f>INDEX('Tabel Referensi'!$C$2:$C$6,MATCH(Table1[[#This Row],[Kode Produk]],'Tabel Referensi'!$A$2:$A$6,0))</f>
        <v>450000</v>
      </c>
      <c r="F29" s="4" t="str">
        <f>INDEX('Tabel Referensi'!$D$2:$D$6,MATCH(Table1[[#This Row],[Kode Produk]],'Tabel Referensi'!$A$2:$A$6,0))</f>
        <v>Aksesoris</v>
      </c>
      <c r="G29" s="10">
        <f>_xlfn.XLOOKUP(Table1[[#This Row],[ID]],'Data Mentah'!$A$1:$A$101,'Data Mentah'!$D$1:$D$101,"",0)</f>
        <v>45132</v>
      </c>
      <c r="H29" s="4">
        <f>_xlfn.XLOOKUP(Table1[[#This Row],[ID]],'Data Mentah'!$A$1:$A$101,'Data Mentah'!$E$1:$E$101,"",0)</f>
        <v>1</v>
      </c>
      <c r="I29" s="11">
        <f>Table1[[#This Row],[Harga Satuan]]*Table1[[#This Row],[Quantity]]</f>
        <v>450000</v>
      </c>
      <c r="J29" s="4" t="str">
        <f>INDEX('Data Mentah'!$F$2:$F$101,MATCH(Table1[[#This Row],[ID]],'Data Mentah'!$A$2:$A$101,0))</f>
        <v>Ya</v>
      </c>
      <c r="K29" s="4" t="str">
        <f>IF(AND(Table1[[#This Row],[Member]]="Ya",Table1[[#This Row],[Total Harga]]&gt;=1000000),"10%","0%")</f>
        <v>0%</v>
      </c>
      <c r="L29" s="12">
        <f>Table1[[#This Row],[Total Harga]]*Table1[[#This Row],[Status Diskon]]</f>
        <v>0</v>
      </c>
      <c r="M29" s="5">
        <f>Table1[[#This Row],[Total Harga]]-Table1[[#This Row],[Nominal Diskon]]</f>
        <v>450000</v>
      </c>
    </row>
    <row r="30" spans="1:13" x14ac:dyDescent="0.6">
      <c r="A30" s="3" t="s">
        <v>94</v>
      </c>
      <c r="B30" s="4" t="str">
        <f>PROPER(_xlfn.XLOOKUP(Table1[[#This Row],[ID]],'Data Mentah'!$A$2:$A$101,'Data Mentah'!$B$2:$B$101,"",0))</f>
        <v>Agus Supriyadi</v>
      </c>
      <c r="C30" s="4" t="str">
        <f>_xlfn.XLOOKUP(Table1[[#This Row],[ID]],'Data Mentah'!$A$2:$A$101,'Data Mentah'!$C$2:$C$101,"",0)</f>
        <v>P-04</v>
      </c>
      <c r="D30" s="4" t="str">
        <f>VLOOKUP(Table1[[#This Row],[Kode Produk]],'Tabel Referensi'!$A$2:$B$6,2,FALSE)</f>
        <v>Monitor 27 Inch</v>
      </c>
      <c r="E30" s="11">
        <f>INDEX('Tabel Referensi'!$C$2:$C$6,MATCH(Table1[[#This Row],[Kode Produk]],'Tabel Referensi'!$A$2:$A$6,0))</f>
        <v>2100000</v>
      </c>
      <c r="F30" s="4" t="str">
        <f>INDEX('Tabel Referensi'!$D$2:$D$6,MATCH(Table1[[#This Row],[Kode Produk]],'Tabel Referensi'!$A$2:$A$6,0))</f>
        <v>Komputer</v>
      </c>
      <c r="G30" s="10">
        <f>_xlfn.XLOOKUP(Table1[[#This Row],[ID]],'Data Mentah'!$A$1:$A$101,'Data Mentah'!$D$1:$D$101,"",0)</f>
        <v>45135</v>
      </c>
      <c r="H30" s="4">
        <f>_xlfn.XLOOKUP(Table1[[#This Row],[ID]],'Data Mentah'!$A$1:$A$101,'Data Mentah'!$E$1:$E$101,"",0)</f>
        <v>2</v>
      </c>
      <c r="I30" s="11">
        <f>Table1[[#This Row],[Harga Satuan]]*Table1[[#This Row],[Quantity]]</f>
        <v>4200000</v>
      </c>
      <c r="J30" s="4" t="str">
        <f>INDEX('Data Mentah'!$F$2:$F$101,MATCH(Table1[[#This Row],[ID]],'Data Mentah'!$A$2:$A$101,0))</f>
        <v>Ya</v>
      </c>
      <c r="K30" s="4" t="str">
        <f>IF(AND(Table1[[#This Row],[Member]]="Ya",Table1[[#This Row],[Total Harga]]&gt;=1000000),"10%","0%")</f>
        <v>10%</v>
      </c>
      <c r="L30" s="12">
        <f>Table1[[#This Row],[Total Harga]]*Table1[[#This Row],[Status Diskon]]</f>
        <v>420000</v>
      </c>
      <c r="M30" s="5">
        <f>Table1[[#This Row],[Total Harga]]-Table1[[#This Row],[Nominal Diskon]]</f>
        <v>3780000</v>
      </c>
    </row>
    <row r="31" spans="1:13" x14ac:dyDescent="0.6">
      <c r="A31" s="3" t="s">
        <v>119</v>
      </c>
      <c r="B31" s="4" t="str">
        <f>PROPER(_xlfn.XLOOKUP(Table1[[#This Row],[ID]],'Data Mentah'!$A$2:$A$101,'Data Mentah'!$B$2:$B$101,"",0))</f>
        <v>Agus Supriyadi</v>
      </c>
      <c r="C31" s="4" t="str">
        <f>_xlfn.XLOOKUP(Table1[[#This Row],[ID]],'Data Mentah'!$A$2:$A$101,'Data Mentah'!$C$2:$C$101,"",0)</f>
        <v>P-05</v>
      </c>
      <c r="D31" s="4" t="str">
        <f>VLOOKUP(Table1[[#This Row],[Kode Produk]],'Tabel Referensi'!$A$2:$B$6,2,FALSE)</f>
        <v>Flashdisk 64GB</v>
      </c>
      <c r="E31" s="11">
        <f>INDEX('Tabel Referensi'!$C$2:$C$6,MATCH(Table1[[#This Row],[Kode Produk]],'Tabel Referensi'!$A$2:$A$6,0))</f>
        <v>95000</v>
      </c>
      <c r="F31" s="4" t="str">
        <f>INDEX('Tabel Referensi'!$D$2:$D$6,MATCH(Table1[[#This Row],[Kode Produk]],'Tabel Referensi'!$A$2:$A$6,0))</f>
        <v>Aksesoris</v>
      </c>
      <c r="G31" s="10">
        <f>_xlfn.XLOOKUP(Table1[[#This Row],[ID]],'Data Mentah'!$A$1:$A$101,'Data Mentah'!$D$1:$D$101,"",0)</f>
        <v>45137</v>
      </c>
      <c r="H31" s="4">
        <f>_xlfn.XLOOKUP(Table1[[#This Row],[ID]],'Data Mentah'!$A$1:$A$101,'Data Mentah'!$E$1:$E$101,"",0)</f>
        <v>4</v>
      </c>
      <c r="I31" s="11">
        <f>Table1[[#This Row],[Harga Satuan]]*Table1[[#This Row],[Quantity]]</f>
        <v>380000</v>
      </c>
      <c r="J31" s="4" t="str">
        <f>INDEX('Data Mentah'!$F$2:$F$101,MATCH(Table1[[#This Row],[ID]],'Data Mentah'!$A$2:$A$101,0))</f>
        <v>Ya</v>
      </c>
      <c r="K31" s="4" t="str">
        <f>IF(AND(Table1[[#This Row],[Member]]="Ya",Table1[[#This Row],[Total Harga]]&gt;=1000000),"10%","0%")</f>
        <v>0%</v>
      </c>
      <c r="L31" s="12">
        <f>Table1[[#This Row],[Total Harga]]*Table1[[#This Row],[Status Diskon]]</f>
        <v>0</v>
      </c>
      <c r="M31" s="5">
        <f>Table1[[#This Row],[Total Harga]]-Table1[[#This Row],[Nominal Diskon]]</f>
        <v>380000</v>
      </c>
    </row>
    <row r="32" spans="1:13" x14ac:dyDescent="0.6">
      <c r="A32" s="3" t="s">
        <v>27</v>
      </c>
      <c r="B32" s="4" t="str">
        <f>PROPER(_xlfn.XLOOKUP(Table1[[#This Row],[ID]],'Data Mentah'!$A$2:$A$101,'Data Mentah'!$B$2:$B$101,"",0))</f>
        <v>Nina Herlina</v>
      </c>
      <c r="C32" s="4" t="str">
        <f>_xlfn.XLOOKUP(Table1[[#This Row],[ID]],'Data Mentah'!$A$2:$A$101,'Data Mentah'!$C$2:$C$101,"",0)</f>
        <v>P-03</v>
      </c>
      <c r="D32" s="4" t="str">
        <f>VLOOKUP(Table1[[#This Row],[Kode Produk]],'Tabel Referensi'!$A$2:$B$6,2,FALSE)</f>
        <v>Keyboard Mechanical</v>
      </c>
      <c r="E32" s="11">
        <f>INDEX('Tabel Referensi'!$C$2:$C$6,MATCH(Table1[[#This Row],[Kode Produk]],'Tabel Referensi'!$A$2:$A$6,0))</f>
        <v>450000</v>
      </c>
      <c r="F32" s="4" t="str">
        <f>INDEX('Tabel Referensi'!$D$2:$D$6,MATCH(Table1[[#This Row],[Kode Produk]],'Tabel Referensi'!$A$2:$A$6,0))</f>
        <v>Aksesoris</v>
      </c>
      <c r="G32" s="10">
        <f>_xlfn.XLOOKUP(Table1[[#This Row],[ID]],'Data Mentah'!$A$1:$A$101,'Data Mentah'!$D$1:$D$101,"",0)</f>
        <v>45146</v>
      </c>
      <c r="H32" s="4">
        <f>_xlfn.XLOOKUP(Table1[[#This Row],[ID]],'Data Mentah'!$A$1:$A$101,'Data Mentah'!$E$1:$E$101,"",0)</f>
        <v>2</v>
      </c>
      <c r="I32" s="11">
        <f>Table1[[#This Row],[Harga Satuan]]*Table1[[#This Row],[Quantity]]</f>
        <v>900000</v>
      </c>
      <c r="J32" s="4" t="str">
        <f>INDEX('Data Mentah'!$F$2:$F$101,MATCH(Table1[[#This Row],[ID]],'Data Mentah'!$A$2:$A$101,0))</f>
        <v>Tidak</v>
      </c>
      <c r="K32" s="4" t="str">
        <f>IF(AND(Table1[[#This Row],[Member]]="Ya",Table1[[#This Row],[Total Harga]]&gt;=1000000),"10%","0%")</f>
        <v>0%</v>
      </c>
      <c r="L32" s="12">
        <f>Table1[[#This Row],[Total Harga]]*Table1[[#This Row],[Status Diskon]]</f>
        <v>0</v>
      </c>
      <c r="M32" s="5">
        <f>Table1[[#This Row],[Total Harga]]-Table1[[#This Row],[Nominal Diskon]]</f>
        <v>900000</v>
      </c>
    </row>
    <row r="33" spans="1:13" x14ac:dyDescent="0.6">
      <c r="A33" s="3" t="s">
        <v>70</v>
      </c>
      <c r="B33" s="4" t="str">
        <f>PROPER(_xlfn.XLOOKUP(Table1[[#This Row],[ID]],'Data Mentah'!$A$2:$A$101,'Data Mentah'!$B$2:$B$101,"",0))</f>
        <v>Nina Herlina</v>
      </c>
      <c r="C33" s="4" t="str">
        <f>_xlfn.XLOOKUP(Table1[[#This Row],[ID]],'Data Mentah'!$A$2:$A$101,'Data Mentah'!$C$2:$C$101,"",0)</f>
        <v>P-04</v>
      </c>
      <c r="D33" s="4" t="str">
        <f>VLOOKUP(Table1[[#This Row],[Kode Produk]],'Tabel Referensi'!$A$2:$B$6,2,FALSE)</f>
        <v>Monitor 27 Inch</v>
      </c>
      <c r="E33" s="11">
        <f>INDEX('Tabel Referensi'!$C$2:$C$6,MATCH(Table1[[#This Row],[Kode Produk]],'Tabel Referensi'!$A$2:$A$6,0))</f>
        <v>2100000</v>
      </c>
      <c r="F33" s="4" t="str">
        <f>INDEX('Tabel Referensi'!$D$2:$D$6,MATCH(Table1[[#This Row],[Kode Produk]],'Tabel Referensi'!$A$2:$A$6,0))</f>
        <v>Komputer</v>
      </c>
      <c r="G33" s="10">
        <f>_xlfn.XLOOKUP(Table1[[#This Row],[ID]],'Data Mentah'!$A$1:$A$101,'Data Mentah'!$D$1:$D$101,"",0)</f>
        <v>45148</v>
      </c>
      <c r="H33" s="4">
        <f>_xlfn.XLOOKUP(Table1[[#This Row],[ID]],'Data Mentah'!$A$1:$A$101,'Data Mentah'!$E$1:$E$101,"",0)</f>
        <v>2</v>
      </c>
      <c r="I33" s="11">
        <f>Table1[[#This Row],[Harga Satuan]]*Table1[[#This Row],[Quantity]]</f>
        <v>4200000</v>
      </c>
      <c r="J33" s="4" t="str">
        <f>INDEX('Data Mentah'!$F$2:$F$101,MATCH(Table1[[#This Row],[ID]],'Data Mentah'!$A$2:$A$101,0))</f>
        <v>Tidak</v>
      </c>
      <c r="K33" s="4" t="str">
        <f>IF(AND(Table1[[#This Row],[Member]]="Ya",Table1[[#This Row],[Total Harga]]&gt;=1000000),"10%","0%")</f>
        <v>0%</v>
      </c>
      <c r="L33" s="12">
        <f>Table1[[#This Row],[Total Harga]]*Table1[[#This Row],[Status Diskon]]</f>
        <v>0</v>
      </c>
      <c r="M33" s="5">
        <f>Table1[[#This Row],[Total Harga]]-Table1[[#This Row],[Nominal Diskon]]</f>
        <v>4200000</v>
      </c>
    </row>
    <row r="34" spans="1:13" x14ac:dyDescent="0.6">
      <c r="A34" s="3" t="s">
        <v>95</v>
      </c>
      <c r="B34" s="4" t="str">
        <f>PROPER(_xlfn.XLOOKUP(Table1[[#This Row],[ID]],'Data Mentah'!$A$2:$A$101,'Data Mentah'!$B$2:$B$101,"",0))</f>
        <v>Nina Herlina</v>
      </c>
      <c r="C34" s="4" t="str">
        <f>_xlfn.XLOOKUP(Table1[[#This Row],[ID]],'Data Mentah'!$A$2:$A$101,'Data Mentah'!$C$2:$C$101,"",0)</f>
        <v>P-05</v>
      </c>
      <c r="D34" s="4" t="str">
        <f>VLOOKUP(Table1[[#This Row],[Kode Produk]],'Tabel Referensi'!$A$2:$B$6,2,FALSE)</f>
        <v>Flashdisk 64GB</v>
      </c>
      <c r="E34" s="11">
        <f>INDEX('Tabel Referensi'!$C$2:$C$6,MATCH(Table1[[#This Row],[Kode Produk]],'Tabel Referensi'!$A$2:$A$6,0))</f>
        <v>95000</v>
      </c>
      <c r="F34" s="4" t="str">
        <f>INDEX('Tabel Referensi'!$D$2:$D$6,MATCH(Table1[[#This Row],[Kode Produk]],'Tabel Referensi'!$A$2:$A$6,0))</f>
        <v>Aksesoris</v>
      </c>
      <c r="G34" s="10">
        <f>_xlfn.XLOOKUP(Table1[[#This Row],[ID]],'Data Mentah'!$A$1:$A$101,'Data Mentah'!$D$1:$D$101,"",0)</f>
        <v>45152</v>
      </c>
      <c r="H34" s="4">
        <f>_xlfn.XLOOKUP(Table1[[#This Row],[ID]],'Data Mentah'!$A$1:$A$101,'Data Mentah'!$E$1:$E$101,"",0)</f>
        <v>5</v>
      </c>
      <c r="I34" s="11">
        <f>Table1[[#This Row],[Harga Satuan]]*Table1[[#This Row],[Quantity]]</f>
        <v>475000</v>
      </c>
      <c r="J34" s="4" t="str">
        <f>INDEX('Data Mentah'!$F$2:$F$101,MATCH(Table1[[#This Row],[ID]],'Data Mentah'!$A$2:$A$101,0))</f>
        <v>Tidak</v>
      </c>
      <c r="K34" s="4" t="str">
        <f>IF(AND(Table1[[#This Row],[Member]]="Ya",Table1[[#This Row],[Total Harga]]&gt;=1000000),"10%","0%")</f>
        <v>0%</v>
      </c>
      <c r="L34" s="12">
        <f>Table1[[#This Row],[Total Harga]]*Table1[[#This Row],[Status Diskon]]</f>
        <v>0</v>
      </c>
      <c r="M34" s="5">
        <f>Table1[[#This Row],[Total Harga]]-Table1[[#This Row],[Nominal Diskon]]</f>
        <v>475000</v>
      </c>
    </row>
    <row r="35" spans="1:13" x14ac:dyDescent="0.6">
      <c r="A35" s="3" t="s">
        <v>120</v>
      </c>
      <c r="B35" s="4" t="str">
        <f>PROPER(_xlfn.XLOOKUP(Table1[[#This Row],[ID]],'Data Mentah'!$A$2:$A$101,'Data Mentah'!$B$2:$B$101,"",0))</f>
        <v>Nina Herlina</v>
      </c>
      <c r="C35" s="4" t="str">
        <f>_xlfn.XLOOKUP(Table1[[#This Row],[ID]],'Data Mentah'!$A$2:$A$101,'Data Mentah'!$C$2:$C$101,"",0)</f>
        <v>P-01</v>
      </c>
      <c r="D35" s="4" t="str">
        <f>VLOOKUP(Table1[[#This Row],[Kode Produk]],'Tabel Referensi'!$A$2:$B$6,2,FALSE)</f>
        <v>Laptop Pro 14</v>
      </c>
      <c r="E35" s="11">
        <f>INDEX('Tabel Referensi'!$C$2:$C$6,MATCH(Table1[[#This Row],[Kode Produk]],'Tabel Referensi'!$A$2:$A$6,0))</f>
        <v>12500000</v>
      </c>
      <c r="F35" s="4" t="str">
        <f>INDEX('Tabel Referensi'!$D$2:$D$6,MATCH(Table1[[#This Row],[Kode Produk]],'Tabel Referensi'!$A$2:$A$6,0))</f>
        <v>Komputer</v>
      </c>
      <c r="G35" s="10">
        <f>_xlfn.XLOOKUP(Table1[[#This Row],[ID]],'Data Mentah'!$A$1:$A$101,'Data Mentah'!$D$1:$D$101,"",0)</f>
        <v>45156</v>
      </c>
      <c r="H35" s="4">
        <f>_xlfn.XLOOKUP(Table1[[#This Row],[ID]],'Data Mentah'!$A$1:$A$101,'Data Mentah'!$E$1:$E$101,"",0)</f>
        <v>2</v>
      </c>
      <c r="I35" s="11">
        <f>Table1[[#This Row],[Harga Satuan]]*Table1[[#This Row],[Quantity]]</f>
        <v>25000000</v>
      </c>
      <c r="J35" s="4" t="str">
        <f>INDEX('Data Mentah'!$F$2:$F$101,MATCH(Table1[[#This Row],[ID]],'Data Mentah'!$A$2:$A$101,0))</f>
        <v>Tidak</v>
      </c>
      <c r="K35" s="4" t="str">
        <f>IF(AND(Table1[[#This Row],[Member]]="Ya",Table1[[#This Row],[Total Harga]]&gt;=1000000),"10%","0%")</f>
        <v>0%</v>
      </c>
      <c r="L35" s="12">
        <f>Table1[[#This Row],[Total Harga]]*Table1[[#This Row],[Status Diskon]]</f>
        <v>0</v>
      </c>
      <c r="M35" s="5">
        <f>Table1[[#This Row],[Total Harga]]-Table1[[#This Row],[Nominal Diskon]]</f>
        <v>25000000</v>
      </c>
    </row>
    <row r="36" spans="1:13" x14ac:dyDescent="0.6">
      <c r="A36" s="3" t="s">
        <v>29</v>
      </c>
      <c r="B36" s="4" t="str">
        <f>PROPER(_xlfn.XLOOKUP(Table1[[#This Row],[ID]],'Data Mentah'!$A$2:$A$101,'Data Mentah'!$B$2:$B$101,"",0))</f>
        <v>Doni Salmanan</v>
      </c>
      <c r="C36" s="4" t="str">
        <f>_xlfn.XLOOKUP(Table1[[#This Row],[ID]],'Data Mentah'!$A$2:$A$101,'Data Mentah'!$C$2:$C$101,"",0)</f>
        <v>P-04</v>
      </c>
      <c r="D36" s="4" t="str">
        <f>VLOOKUP(Table1[[#This Row],[Kode Produk]],'Tabel Referensi'!$A$2:$B$6,2,FALSE)</f>
        <v>Monitor 27 Inch</v>
      </c>
      <c r="E36" s="11">
        <f>INDEX('Tabel Referensi'!$C$2:$C$6,MATCH(Table1[[#This Row],[Kode Produk]],'Tabel Referensi'!$A$2:$A$6,0))</f>
        <v>2100000</v>
      </c>
      <c r="F36" s="4" t="str">
        <f>INDEX('Tabel Referensi'!$D$2:$D$6,MATCH(Table1[[#This Row],[Kode Produk]],'Tabel Referensi'!$A$2:$A$6,0))</f>
        <v>Komputer</v>
      </c>
      <c r="G36" s="10">
        <f>_xlfn.XLOOKUP(Table1[[#This Row],[ID]],'Data Mentah'!$A$1:$A$101,'Data Mentah'!$D$1:$D$101,"",0)</f>
        <v>45183</v>
      </c>
      <c r="H36" s="4">
        <f>_xlfn.XLOOKUP(Table1[[#This Row],[ID]],'Data Mentah'!$A$1:$A$101,'Data Mentah'!$E$1:$E$101,"",0)</f>
        <v>1</v>
      </c>
      <c r="I36" s="11">
        <f>Table1[[#This Row],[Harga Satuan]]*Table1[[#This Row],[Quantity]]</f>
        <v>2100000</v>
      </c>
      <c r="J36" s="4" t="str">
        <f>INDEX('Data Mentah'!$F$2:$F$101,MATCH(Table1[[#This Row],[ID]],'Data Mentah'!$A$2:$A$101,0))</f>
        <v>Ya</v>
      </c>
      <c r="K36" s="4" t="str">
        <f>IF(AND(Table1[[#This Row],[Member]]="Ya",Table1[[#This Row],[Total Harga]]&gt;=1000000),"10%","0%")</f>
        <v>10%</v>
      </c>
      <c r="L36" s="12">
        <f>Table1[[#This Row],[Total Harga]]*Table1[[#This Row],[Status Diskon]]</f>
        <v>210000</v>
      </c>
      <c r="M36" s="5">
        <f>Table1[[#This Row],[Total Harga]]-Table1[[#This Row],[Nominal Diskon]]</f>
        <v>1890000</v>
      </c>
    </row>
    <row r="37" spans="1:13" x14ac:dyDescent="0.6">
      <c r="A37" s="3" t="s">
        <v>71</v>
      </c>
      <c r="B37" s="4" t="str">
        <f>PROPER(_xlfn.XLOOKUP(Table1[[#This Row],[ID]],'Data Mentah'!$A$2:$A$101,'Data Mentah'!$B$2:$B$101,"",0))</f>
        <v>Doni Salmanan</v>
      </c>
      <c r="C37" s="4" t="str">
        <f>_xlfn.XLOOKUP(Table1[[#This Row],[ID]],'Data Mentah'!$A$2:$A$101,'Data Mentah'!$C$2:$C$101,"",0)</f>
        <v>P-05</v>
      </c>
      <c r="D37" s="4" t="str">
        <f>VLOOKUP(Table1[[#This Row],[Kode Produk]],'Tabel Referensi'!$A$2:$B$6,2,FALSE)</f>
        <v>Flashdisk 64GB</v>
      </c>
      <c r="E37" s="11">
        <f>INDEX('Tabel Referensi'!$C$2:$C$6,MATCH(Table1[[#This Row],[Kode Produk]],'Tabel Referensi'!$A$2:$A$6,0))</f>
        <v>95000</v>
      </c>
      <c r="F37" s="4" t="str">
        <f>INDEX('Tabel Referensi'!$D$2:$D$6,MATCH(Table1[[#This Row],[Kode Produk]],'Tabel Referensi'!$A$2:$A$6,0))</f>
        <v>Aksesoris</v>
      </c>
      <c r="G37" s="10">
        <f>_xlfn.XLOOKUP(Table1[[#This Row],[ID]],'Data Mentah'!$A$1:$A$101,'Data Mentah'!$D$1:$D$101,"",0)</f>
        <v>45185</v>
      </c>
      <c r="H37" s="4">
        <f>_xlfn.XLOOKUP(Table1[[#This Row],[ID]],'Data Mentah'!$A$1:$A$101,'Data Mentah'!$E$1:$E$101,"",0)</f>
        <v>5</v>
      </c>
      <c r="I37" s="11">
        <f>Table1[[#This Row],[Harga Satuan]]*Table1[[#This Row],[Quantity]]</f>
        <v>475000</v>
      </c>
      <c r="J37" s="4" t="str">
        <f>INDEX('Data Mentah'!$F$2:$F$101,MATCH(Table1[[#This Row],[ID]],'Data Mentah'!$A$2:$A$101,0))</f>
        <v>Ya</v>
      </c>
      <c r="K37" s="4" t="str">
        <f>IF(AND(Table1[[#This Row],[Member]]="Ya",Table1[[#This Row],[Total Harga]]&gt;=1000000),"10%","0%")</f>
        <v>0%</v>
      </c>
      <c r="L37" s="12">
        <f>Table1[[#This Row],[Total Harga]]*Table1[[#This Row],[Status Diskon]]</f>
        <v>0</v>
      </c>
      <c r="M37" s="5">
        <f>Table1[[#This Row],[Total Harga]]-Table1[[#This Row],[Nominal Diskon]]</f>
        <v>475000</v>
      </c>
    </row>
    <row r="38" spans="1:13" x14ac:dyDescent="0.6">
      <c r="A38" s="3" t="s">
        <v>96</v>
      </c>
      <c r="B38" s="4" t="str">
        <f>PROPER(_xlfn.XLOOKUP(Table1[[#This Row],[ID]],'Data Mentah'!$A$2:$A$101,'Data Mentah'!$B$2:$B$101,"",0))</f>
        <v>Doni Salmanan</v>
      </c>
      <c r="C38" s="4" t="str">
        <f>_xlfn.XLOOKUP(Table1[[#This Row],[ID]],'Data Mentah'!$A$2:$A$101,'Data Mentah'!$C$2:$C$101,"",0)</f>
        <v>P-01</v>
      </c>
      <c r="D38" s="4" t="str">
        <f>VLOOKUP(Table1[[#This Row],[Kode Produk]],'Tabel Referensi'!$A$2:$B$6,2,FALSE)</f>
        <v>Laptop Pro 14</v>
      </c>
      <c r="E38" s="11">
        <f>INDEX('Tabel Referensi'!$C$2:$C$6,MATCH(Table1[[#This Row],[Kode Produk]],'Tabel Referensi'!$A$2:$A$6,0))</f>
        <v>12500000</v>
      </c>
      <c r="F38" s="4" t="str">
        <f>INDEX('Tabel Referensi'!$D$2:$D$6,MATCH(Table1[[#This Row],[Kode Produk]],'Tabel Referensi'!$A$2:$A$6,0))</f>
        <v>Komputer</v>
      </c>
      <c r="G38" s="10">
        <f>_xlfn.XLOOKUP(Table1[[#This Row],[ID]],'Data Mentah'!$A$1:$A$101,'Data Mentah'!$D$1:$D$101,"",0)</f>
        <v>45189</v>
      </c>
      <c r="H38" s="4">
        <f>_xlfn.XLOOKUP(Table1[[#This Row],[ID]],'Data Mentah'!$A$1:$A$101,'Data Mentah'!$E$1:$E$101,"",0)</f>
        <v>1</v>
      </c>
      <c r="I38" s="11">
        <f>Table1[[#This Row],[Harga Satuan]]*Table1[[#This Row],[Quantity]]</f>
        <v>12500000</v>
      </c>
      <c r="J38" s="4" t="str">
        <f>INDEX('Data Mentah'!$F$2:$F$101,MATCH(Table1[[#This Row],[ID]],'Data Mentah'!$A$2:$A$101,0))</f>
        <v>Ya</v>
      </c>
      <c r="K38" s="4" t="str">
        <f>IF(AND(Table1[[#This Row],[Member]]="Ya",Table1[[#This Row],[Total Harga]]&gt;=1000000),"10%","0%")</f>
        <v>10%</v>
      </c>
      <c r="L38" s="12">
        <f>Table1[[#This Row],[Total Harga]]*Table1[[#This Row],[Status Diskon]]</f>
        <v>1250000</v>
      </c>
      <c r="M38" s="5">
        <f>Table1[[#This Row],[Total Harga]]-Table1[[#This Row],[Nominal Diskon]]</f>
        <v>11250000</v>
      </c>
    </row>
    <row r="39" spans="1:13" x14ac:dyDescent="0.6">
      <c r="A39" s="3" t="s">
        <v>121</v>
      </c>
      <c r="B39" s="4" t="str">
        <f>PROPER(_xlfn.XLOOKUP(Table1[[#This Row],[ID]],'Data Mentah'!$A$2:$A$101,'Data Mentah'!$B$2:$B$101,"",0))</f>
        <v>Doni Salmanan</v>
      </c>
      <c r="C39" s="4" t="str">
        <f>_xlfn.XLOOKUP(Table1[[#This Row],[ID]],'Data Mentah'!$A$2:$A$101,'Data Mentah'!$C$2:$C$101,"",0)</f>
        <v>P-02</v>
      </c>
      <c r="D39" s="4" t="str">
        <f>VLOOKUP(Table1[[#This Row],[Kode Produk]],'Tabel Referensi'!$A$2:$B$6,2,FALSE)</f>
        <v>Mouse Wireless</v>
      </c>
      <c r="E39" s="11">
        <f>INDEX('Tabel Referensi'!$C$2:$C$6,MATCH(Table1[[#This Row],[Kode Produk]],'Tabel Referensi'!$A$2:$A$6,0))</f>
        <v>150000</v>
      </c>
      <c r="F39" s="4" t="str">
        <f>INDEX('Tabel Referensi'!$D$2:$D$6,MATCH(Table1[[#This Row],[Kode Produk]],'Tabel Referensi'!$A$2:$A$6,0))</f>
        <v>Aksesoris</v>
      </c>
      <c r="G39" s="10">
        <f>_xlfn.XLOOKUP(Table1[[#This Row],[ID]],'Data Mentah'!$A$1:$A$101,'Data Mentah'!$D$1:$D$101,"",0)</f>
        <v>45194</v>
      </c>
      <c r="H39" s="4">
        <f>_xlfn.XLOOKUP(Table1[[#This Row],[ID]],'Data Mentah'!$A$1:$A$101,'Data Mentah'!$E$1:$E$101,"",0)</f>
        <v>5</v>
      </c>
      <c r="I39" s="11">
        <f>Table1[[#This Row],[Harga Satuan]]*Table1[[#This Row],[Quantity]]</f>
        <v>750000</v>
      </c>
      <c r="J39" s="4" t="str">
        <f>INDEX('Data Mentah'!$F$2:$F$101,MATCH(Table1[[#This Row],[ID]],'Data Mentah'!$A$2:$A$101,0))</f>
        <v>Ya</v>
      </c>
      <c r="K39" s="4" t="str">
        <f>IF(AND(Table1[[#This Row],[Member]]="Ya",Table1[[#This Row],[Total Harga]]&gt;=1000000),"10%","0%")</f>
        <v>0%</v>
      </c>
      <c r="L39" s="12">
        <f>Table1[[#This Row],[Total Harga]]*Table1[[#This Row],[Status Diskon]]</f>
        <v>0</v>
      </c>
      <c r="M39" s="5">
        <f>Table1[[#This Row],[Total Harga]]-Table1[[#This Row],[Nominal Diskon]]</f>
        <v>750000</v>
      </c>
    </row>
    <row r="40" spans="1:13" x14ac:dyDescent="0.6">
      <c r="A40" s="3" t="s">
        <v>31</v>
      </c>
      <c r="B40" s="4" t="str">
        <f>PROPER(_xlfn.XLOOKUP(Table1[[#This Row],[ID]],'Data Mentah'!$A$2:$A$101,'Data Mentah'!$B$2:$B$101,"",0))</f>
        <v>Fajar Nugraha</v>
      </c>
      <c r="C40" s="4" t="str">
        <f>_xlfn.XLOOKUP(Table1[[#This Row],[ID]],'Data Mentah'!$A$2:$A$101,'Data Mentah'!$C$2:$C$101,"",0)</f>
        <v>P-05</v>
      </c>
      <c r="D40" s="4" t="str">
        <f>VLOOKUP(Table1[[#This Row],[Kode Produk]],'Tabel Referensi'!$A$2:$B$6,2,FALSE)</f>
        <v>Flashdisk 64GB</v>
      </c>
      <c r="E40" s="11">
        <f>INDEX('Tabel Referensi'!$C$2:$C$6,MATCH(Table1[[#This Row],[Kode Produk]],'Tabel Referensi'!$A$2:$A$6,0))</f>
        <v>95000</v>
      </c>
      <c r="F40" s="4" t="str">
        <f>INDEX('Tabel Referensi'!$D$2:$D$6,MATCH(Table1[[#This Row],[Kode Produk]],'Tabel Referensi'!$A$2:$A$6,0))</f>
        <v>Aksesoris</v>
      </c>
      <c r="G40" s="10">
        <f>_xlfn.XLOOKUP(Table1[[#This Row],[ID]],'Data Mentah'!$A$1:$A$101,'Data Mentah'!$D$1:$D$101,"",0)</f>
        <v>45200</v>
      </c>
      <c r="H40" s="4">
        <f>_xlfn.XLOOKUP(Table1[[#This Row],[ID]],'Data Mentah'!$A$1:$A$101,'Data Mentah'!$E$1:$E$101,"",0)</f>
        <v>3</v>
      </c>
      <c r="I40" s="11">
        <f>Table1[[#This Row],[Harga Satuan]]*Table1[[#This Row],[Quantity]]</f>
        <v>285000</v>
      </c>
      <c r="J40" s="4" t="str">
        <f>INDEX('Data Mentah'!$F$2:$F$101,MATCH(Table1[[#This Row],[ID]],'Data Mentah'!$A$2:$A$101,0))</f>
        <v>Tidak</v>
      </c>
      <c r="K40" s="4" t="str">
        <f>IF(AND(Table1[[#This Row],[Member]]="Ya",Table1[[#This Row],[Total Harga]]&gt;=1000000),"10%","0%")</f>
        <v>0%</v>
      </c>
      <c r="L40" s="12">
        <f>Table1[[#This Row],[Total Harga]]*Table1[[#This Row],[Status Diskon]]</f>
        <v>0</v>
      </c>
      <c r="M40" s="5">
        <f>Table1[[#This Row],[Total Harga]]-Table1[[#This Row],[Nominal Diskon]]</f>
        <v>285000</v>
      </c>
    </row>
    <row r="41" spans="1:13" x14ac:dyDescent="0.6">
      <c r="A41" s="3" t="s">
        <v>72</v>
      </c>
      <c r="B41" s="4" t="str">
        <f>PROPER(_xlfn.XLOOKUP(Table1[[#This Row],[ID]],'Data Mentah'!$A$2:$A$101,'Data Mentah'!$B$2:$B$101,"",0))</f>
        <v>Fajar Nugraha</v>
      </c>
      <c r="C41" s="4" t="str">
        <f>_xlfn.XLOOKUP(Table1[[#This Row],[ID]],'Data Mentah'!$A$2:$A$101,'Data Mentah'!$C$2:$C$101,"",0)</f>
        <v>P-01</v>
      </c>
      <c r="D41" s="4" t="str">
        <f>VLOOKUP(Table1[[#This Row],[Kode Produk]],'Tabel Referensi'!$A$2:$B$6,2,FALSE)</f>
        <v>Laptop Pro 14</v>
      </c>
      <c r="E41" s="11">
        <f>INDEX('Tabel Referensi'!$C$2:$C$6,MATCH(Table1[[#This Row],[Kode Produk]],'Tabel Referensi'!$A$2:$A$6,0))</f>
        <v>12500000</v>
      </c>
      <c r="F41" s="4" t="str">
        <f>INDEX('Tabel Referensi'!$D$2:$D$6,MATCH(Table1[[#This Row],[Kode Produk]],'Tabel Referensi'!$A$2:$A$6,0))</f>
        <v>Komputer</v>
      </c>
      <c r="G41" s="10">
        <f>_xlfn.XLOOKUP(Table1[[#This Row],[ID]],'Data Mentah'!$A$1:$A$101,'Data Mentah'!$D$1:$D$101,"",0)</f>
        <v>45204</v>
      </c>
      <c r="H41" s="4">
        <f>_xlfn.XLOOKUP(Table1[[#This Row],[ID]],'Data Mentah'!$A$1:$A$101,'Data Mentah'!$E$1:$E$101,"",0)</f>
        <v>1</v>
      </c>
      <c r="I41" s="11">
        <f>Table1[[#This Row],[Harga Satuan]]*Table1[[#This Row],[Quantity]]</f>
        <v>12500000</v>
      </c>
      <c r="J41" s="4" t="str">
        <f>INDEX('Data Mentah'!$F$2:$F$101,MATCH(Table1[[#This Row],[ID]],'Data Mentah'!$A$2:$A$101,0))</f>
        <v>Tidak</v>
      </c>
      <c r="K41" s="4" t="str">
        <f>IF(AND(Table1[[#This Row],[Member]]="Ya",Table1[[#This Row],[Total Harga]]&gt;=1000000),"10%","0%")</f>
        <v>0%</v>
      </c>
      <c r="L41" s="12">
        <f>Table1[[#This Row],[Total Harga]]*Table1[[#This Row],[Status Diskon]]</f>
        <v>0</v>
      </c>
      <c r="M41" s="5">
        <f>Table1[[#This Row],[Total Harga]]-Table1[[#This Row],[Nominal Diskon]]</f>
        <v>12500000</v>
      </c>
    </row>
    <row r="42" spans="1:13" x14ac:dyDescent="0.6">
      <c r="A42" s="3" t="s">
        <v>97</v>
      </c>
      <c r="B42" s="4" t="str">
        <f>PROPER(_xlfn.XLOOKUP(Table1[[#This Row],[ID]],'Data Mentah'!$A$2:$A$101,'Data Mentah'!$B$2:$B$101,"",0))</f>
        <v>Fajar Nugraha</v>
      </c>
      <c r="C42" s="4" t="str">
        <f>_xlfn.XLOOKUP(Table1[[#This Row],[ID]],'Data Mentah'!$A$2:$A$101,'Data Mentah'!$C$2:$C$101,"",0)</f>
        <v>P-02</v>
      </c>
      <c r="D42" s="4" t="str">
        <f>VLOOKUP(Table1[[#This Row],[Kode Produk]],'Tabel Referensi'!$A$2:$B$6,2,FALSE)</f>
        <v>Mouse Wireless</v>
      </c>
      <c r="E42" s="11">
        <f>INDEX('Tabel Referensi'!$C$2:$C$6,MATCH(Table1[[#This Row],[Kode Produk]],'Tabel Referensi'!$A$2:$A$6,0))</f>
        <v>150000</v>
      </c>
      <c r="F42" s="4" t="str">
        <f>INDEX('Tabel Referensi'!$D$2:$D$6,MATCH(Table1[[#This Row],[Kode Produk]],'Tabel Referensi'!$A$2:$A$6,0))</f>
        <v>Aksesoris</v>
      </c>
      <c r="G42" s="10">
        <f>_xlfn.XLOOKUP(Table1[[#This Row],[ID]],'Data Mentah'!$A$1:$A$101,'Data Mentah'!$D$1:$D$101,"",0)</f>
        <v>45209</v>
      </c>
      <c r="H42" s="4">
        <f>_xlfn.XLOOKUP(Table1[[#This Row],[ID]],'Data Mentah'!$A$1:$A$101,'Data Mentah'!$E$1:$E$101,"",0)</f>
        <v>4</v>
      </c>
      <c r="I42" s="11">
        <f>Table1[[#This Row],[Harga Satuan]]*Table1[[#This Row],[Quantity]]</f>
        <v>600000</v>
      </c>
      <c r="J42" s="4" t="str">
        <f>INDEX('Data Mentah'!$F$2:$F$101,MATCH(Table1[[#This Row],[ID]],'Data Mentah'!$A$2:$A$101,0))</f>
        <v>Tidak</v>
      </c>
      <c r="K42" s="4" t="str">
        <f>IF(AND(Table1[[#This Row],[Member]]="Ya",Table1[[#This Row],[Total Harga]]&gt;=1000000),"10%","0%")</f>
        <v>0%</v>
      </c>
      <c r="L42" s="12">
        <f>Table1[[#This Row],[Total Harga]]*Table1[[#This Row],[Status Diskon]]</f>
        <v>0</v>
      </c>
      <c r="M42" s="5">
        <f>Table1[[#This Row],[Total Harga]]-Table1[[#This Row],[Nominal Diskon]]</f>
        <v>600000</v>
      </c>
    </row>
    <row r="43" spans="1:13" x14ac:dyDescent="0.6">
      <c r="A43" s="3" t="s">
        <v>122</v>
      </c>
      <c r="B43" s="4" t="str">
        <f>PROPER(_xlfn.XLOOKUP(Table1[[#This Row],[ID]],'Data Mentah'!$A$2:$A$101,'Data Mentah'!$B$2:$B$101,"",0))</f>
        <v>Fajar Nugraha</v>
      </c>
      <c r="C43" s="4" t="str">
        <f>_xlfn.XLOOKUP(Table1[[#This Row],[ID]],'Data Mentah'!$A$2:$A$101,'Data Mentah'!$C$2:$C$101,"",0)</f>
        <v>P-03</v>
      </c>
      <c r="D43" s="4" t="str">
        <f>VLOOKUP(Table1[[#This Row],[Kode Produk]],'Tabel Referensi'!$A$2:$B$6,2,FALSE)</f>
        <v>Keyboard Mechanical</v>
      </c>
      <c r="E43" s="11">
        <f>INDEX('Tabel Referensi'!$C$2:$C$6,MATCH(Table1[[#This Row],[Kode Produk]],'Tabel Referensi'!$A$2:$A$6,0))</f>
        <v>450000</v>
      </c>
      <c r="F43" s="4" t="str">
        <f>INDEX('Tabel Referensi'!$D$2:$D$6,MATCH(Table1[[#This Row],[Kode Produk]],'Tabel Referensi'!$A$2:$A$6,0))</f>
        <v>Aksesoris</v>
      </c>
      <c r="G43" s="10">
        <f>_xlfn.XLOOKUP(Table1[[#This Row],[ID]],'Data Mentah'!$A$1:$A$101,'Data Mentah'!$D$1:$D$101,"",0)</f>
        <v>45214</v>
      </c>
      <c r="H43" s="4">
        <f>_xlfn.XLOOKUP(Table1[[#This Row],[ID]],'Data Mentah'!$A$1:$A$101,'Data Mentah'!$E$1:$E$101,"",0)</f>
        <v>1</v>
      </c>
      <c r="I43" s="11">
        <f>Table1[[#This Row],[Harga Satuan]]*Table1[[#This Row],[Quantity]]</f>
        <v>450000</v>
      </c>
      <c r="J43" s="4" t="str">
        <f>INDEX('Data Mentah'!$F$2:$F$101,MATCH(Table1[[#This Row],[ID]],'Data Mentah'!$A$2:$A$101,0))</f>
        <v>Tidak</v>
      </c>
      <c r="K43" s="4" t="str">
        <f>IF(AND(Table1[[#This Row],[Member]]="Ya",Table1[[#This Row],[Total Harga]]&gt;=1000000),"10%","0%")</f>
        <v>0%</v>
      </c>
      <c r="L43" s="12">
        <f>Table1[[#This Row],[Total Harga]]*Table1[[#This Row],[Status Diskon]]</f>
        <v>0</v>
      </c>
      <c r="M43" s="5">
        <f>Table1[[#This Row],[Total Harga]]-Table1[[#This Row],[Nominal Diskon]]</f>
        <v>450000</v>
      </c>
    </row>
    <row r="44" spans="1:13" x14ac:dyDescent="0.6">
      <c r="A44" s="3" t="s">
        <v>33</v>
      </c>
      <c r="B44" s="4" t="str">
        <f>PROPER(_xlfn.XLOOKUP(Table1[[#This Row],[ID]],'Data Mentah'!$A$2:$A$101,'Data Mentah'!$B$2:$B$101,"",0))</f>
        <v>Gina Sonia</v>
      </c>
      <c r="C44" s="4" t="str">
        <f>_xlfn.XLOOKUP(Table1[[#This Row],[ID]],'Data Mentah'!$A$2:$A$101,'Data Mentah'!$C$2:$C$101,"",0)</f>
        <v>P-01</v>
      </c>
      <c r="D44" s="4" t="str">
        <f>VLOOKUP(Table1[[#This Row],[Kode Produk]],'Tabel Referensi'!$A$2:$B$6,2,FALSE)</f>
        <v>Laptop Pro 14</v>
      </c>
      <c r="E44" s="11">
        <f>INDEX('Tabel Referensi'!$C$2:$C$6,MATCH(Table1[[#This Row],[Kode Produk]],'Tabel Referensi'!$A$2:$A$6,0))</f>
        <v>12500000</v>
      </c>
      <c r="F44" s="4" t="str">
        <f>INDEX('Tabel Referensi'!$D$2:$D$6,MATCH(Table1[[#This Row],[Kode Produk]],'Tabel Referensi'!$A$2:$A$6,0))</f>
        <v>Komputer</v>
      </c>
      <c r="G44" s="10">
        <f>_xlfn.XLOOKUP(Table1[[#This Row],[ID]],'Data Mentah'!$A$1:$A$101,'Data Mentah'!$D$1:$D$101,"",0)</f>
        <v>45241</v>
      </c>
      <c r="H44" s="4">
        <f>_xlfn.XLOOKUP(Table1[[#This Row],[ID]],'Data Mentah'!$A$1:$A$101,'Data Mentah'!$E$1:$E$101,"",0)</f>
        <v>1</v>
      </c>
      <c r="I44" s="11">
        <f>Table1[[#This Row],[Harga Satuan]]*Table1[[#This Row],[Quantity]]</f>
        <v>12500000</v>
      </c>
      <c r="J44" s="4" t="str">
        <f>INDEX('Data Mentah'!$F$2:$F$101,MATCH(Table1[[#This Row],[ID]],'Data Mentah'!$A$2:$A$101,0))</f>
        <v>Ya</v>
      </c>
      <c r="K44" s="4" t="str">
        <f>IF(AND(Table1[[#This Row],[Member]]="Ya",Table1[[#This Row],[Total Harga]]&gt;=1000000),"10%","0%")</f>
        <v>10%</v>
      </c>
      <c r="L44" s="12">
        <f>Table1[[#This Row],[Total Harga]]*Table1[[#This Row],[Status Diskon]]</f>
        <v>1250000</v>
      </c>
      <c r="M44" s="5">
        <f>Table1[[#This Row],[Total Harga]]-Table1[[#This Row],[Nominal Diskon]]</f>
        <v>11250000</v>
      </c>
    </row>
    <row r="45" spans="1:13" x14ac:dyDescent="0.6">
      <c r="A45" s="3" t="s">
        <v>73</v>
      </c>
      <c r="B45" s="4" t="str">
        <f>PROPER(_xlfn.XLOOKUP(Table1[[#This Row],[ID]],'Data Mentah'!$A$2:$A$101,'Data Mentah'!$B$2:$B$101,"",0))</f>
        <v>Gina Sonia</v>
      </c>
      <c r="C45" s="4" t="str">
        <f>_xlfn.XLOOKUP(Table1[[#This Row],[ID]],'Data Mentah'!$A$2:$A$101,'Data Mentah'!$C$2:$C$101,"",0)</f>
        <v>P-02</v>
      </c>
      <c r="D45" s="4" t="str">
        <f>VLOOKUP(Table1[[#This Row],[Kode Produk]],'Tabel Referensi'!$A$2:$B$6,2,FALSE)</f>
        <v>Mouse Wireless</v>
      </c>
      <c r="E45" s="11">
        <f>INDEX('Tabel Referensi'!$C$2:$C$6,MATCH(Table1[[#This Row],[Kode Produk]],'Tabel Referensi'!$A$2:$A$6,0))</f>
        <v>150000</v>
      </c>
      <c r="F45" s="4" t="str">
        <f>INDEX('Tabel Referensi'!$D$2:$D$6,MATCH(Table1[[#This Row],[Kode Produk]],'Tabel Referensi'!$A$2:$A$6,0))</f>
        <v>Aksesoris</v>
      </c>
      <c r="G45" s="10">
        <f>_xlfn.XLOOKUP(Table1[[#This Row],[ID]],'Data Mentah'!$A$1:$A$101,'Data Mentah'!$D$1:$D$101,"",0)</f>
        <v>45245</v>
      </c>
      <c r="H45" s="4">
        <f>_xlfn.XLOOKUP(Table1[[#This Row],[ID]],'Data Mentah'!$A$1:$A$101,'Data Mentah'!$E$1:$E$101,"",0)</f>
        <v>2</v>
      </c>
      <c r="I45" s="11">
        <f>Table1[[#This Row],[Harga Satuan]]*Table1[[#This Row],[Quantity]]</f>
        <v>300000</v>
      </c>
      <c r="J45" s="4" t="str">
        <f>INDEX('Data Mentah'!$F$2:$F$101,MATCH(Table1[[#This Row],[ID]],'Data Mentah'!$A$2:$A$101,0))</f>
        <v>Ya</v>
      </c>
      <c r="K45" s="4" t="str">
        <f>IF(AND(Table1[[#This Row],[Member]]="Ya",Table1[[#This Row],[Total Harga]]&gt;=1000000),"10%","0%")</f>
        <v>0%</v>
      </c>
      <c r="L45" s="12">
        <f>Table1[[#This Row],[Total Harga]]*Table1[[#This Row],[Status Diskon]]</f>
        <v>0</v>
      </c>
      <c r="M45" s="5">
        <f>Table1[[#This Row],[Total Harga]]-Table1[[#This Row],[Nominal Diskon]]</f>
        <v>300000</v>
      </c>
    </row>
    <row r="46" spans="1:13" x14ac:dyDescent="0.6">
      <c r="A46" s="3" t="s">
        <v>98</v>
      </c>
      <c r="B46" s="4" t="str">
        <f>PROPER(_xlfn.XLOOKUP(Table1[[#This Row],[ID]],'Data Mentah'!$A$2:$A$101,'Data Mentah'!$B$2:$B$101,"",0))</f>
        <v>Gina Sonia</v>
      </c>
      <c r="C46" s="4" t="str">
        <f>_xlfn.XLOOKUP(Table1[[#This Row],[ID]],'Data Mentah'!$A$2:$A$101,'Data Mentah'!$C$2:$C$101,"",0)</f>
        <v>P-03</v>
      </c>
      <c r="D46" s="4" t="str">
        <f>VLOOKUP(Table1[[#This Row],[Kode Produk]],'Tabel Referensi'!$A$2:$B$6,2,FALSE)</f>
        <v>Keyboard Mechanical</v>
      </c>
      <c r="E46" s="11">
        <f>INDEX('Tabel Referensi'!$C$2:$C$6,MATCH(Table1[[#This Row],[Kode Produk]],'Tabel Referensi'!$A$2:$A$6,0))</f>
        <v>450000</v>
      </c>
      <c r="F46" s="4" t="str">
        <f>INDEX('Tabel Referensi'!$D$2:$D$6,MATCH(Table1[[#This Row],[Kode Produk]],'Tabel Referensi'!$A$2:$A$6,0))</f>
        <v>Aksesoris</v>
      </c>
      <c r="G46" s="10">
        <f>_xlfn.XLOOKUP(Table1[[#This Row],[ID]],'Data Mentah'!$A$1:$A$101,'Data Mentah'!$D$1:$D$101,"",0)</f>
        <v>45248</v>
      </c>
      <c r="H46" s="4">
        <f>_xlfn.XLOOKUP(Table1[[#This Row],[ID]],'Data Mentah'!$A$1:$A$101,'Data Mentah'!$E$1:$E$101,"",0)</f>
        <v>2</v>
      </c>
      <c r="I46" s="11">
        <f>Table1[[#This Row],[Harga Satuan]]*Table1[[#This Row],[Quantity]]</f>
        <v>900000</v>
      </c>
      <c r="J46" s="4" t="str">
        <f>INDEX('Data Mentah'!$F$2:$F$101,MATCH(Table1[[#This Row],[ID]],'Data Mentah'!$A$2:$A$101,0))</f>
        <v>Ya</v>
      </c>
      <c r="K46" s="4" t="str">
        <f>IF(AND(Table1[[#This Row],[Member]]="Ya",Table1[[#This Row],[Total Harga]]&gt;=1000000),"10%","0%")</f>
        <v>0%</v>
      </c>
      <c r="L46" s="12">
        <f>Table1[[#This Row],[Total Harga]]*Table1[[#This Row],[Status Diskon]]</f>
        <v>0</v>
      </c>
      <c r="M46" s="5">
        <f>Table1[[#This Row],[Total Harga]]-Table1[[#This Row],[Nominal Diskon]]</f>
        <v>900000</v>
      </c>
    </row>
    <row r="47" spans="1:13" x14ac:dyDescent="0.6">
      <c r="A47" s="3" t="s">
        <v>123</v>
      </c>
      <c r="B47" s="4" t="str">
        <f>PROPER(_xlfn.XLOOKUP(Table1[[#This Row],[ID]],'Data Mentah'!$A$2:$A$101,'Data Mentah'!$B$2:$B$101,"",0))</f>
        <v>Gina Sonia</v>
      </c>
      <c r="C47" s="4" t="str">
        <f>_xlfn.XLOOKUP(Table1[[#This Row],[ID]],'Data Mentah'!$A$2:$A$101,'Data Mentah'!$C$2:$C$101,"",0)</f>
        <v>P-04</v>
      </c>
      <c r="D47" s="4" t="str">
        <f>VLOOKUP(Table1[[#This Row],[Kode Produk]],'Tabel Referensi'!$A$2:$B$6,2,FALSE)</f>
        <v>Monitor 27 Inch</v>
      </c>
      <c r="E47" s="11">
        <f>INDEX('Tabel Referensi'!$C$2:$C$6,MATCH(Table1[[#This Row],[Kode Produk]],'Tabel Referensi'!$A$2:$A$6,0))</f>
        <v>2100000</v>
      </c>
      <c r="F47" s="4" t="str">
        <f>INDEX('Tabel Referensi'!$D$2:$D$6,MATCH(Table1[[#This Row],[Kode Produk]],'Tabel Referensi'!$A$2:$A$6,0))</f>
        <v>Komputer</v>
      </c>
      <c r="G47" s="10">
        <f>_xlfn.XLOOKUP(Table1[[#This Row],[ID]],'Data Mentah'!$A$1:$A$101,'Data Mentah'!$D$1:$D$101,"",0)</f>
        <v>45252</v>
      </c>
      <c r="H47" s="4">
        <f>_xlfn.XLOOKUP(Table1[[#This Row],[ID]],'Data Mentah'!$A$1:$A$101,'Data Mentah'!$E$1:$E$101,"",0)</f>
        <v>2</v>
      </c>
      <c r="I47" s="11">
        <f>Table1[[#This Row],[Harga Satuan]]*Table1[[#This Row],[Quantity]]</f>
        <v>4200000</v>
      </c>
      <c r="J47" s="4" t="str">
        <f>INDEX('Data Mentah'!$F$2:$F$101,MATCH(Table1[[#This Row],[ID]],'Data Mentah'!$A$2:$A$101,0))</f>
        <v>Ya</v>
      </c>
      <c r="K47" s="4" t="str">
        <f>IF(AND(Table1[[#This Row],[Member]]="Ya",Table1[[#This Row],[Total Harga]]&gt;=1000000),"10%","0%")</f>
        <v>10%</v>
      </c>
      <c r="L47" s="12">
        <f>Table1[[#This Row],[Total Harga]]*Table1[[#This Row],[Status Diskon]]</f>
        <v>420000</v>
      </c>
      <c r="M47" s="5">
        <f>Table1[[#This Row],[Total Harga]]-Table1[[#This Row],[Nominal Diskon]]</f>
        <v>3780000</v>
      </c>
    </row>
    <row r="48" spans="1:13" x14ac:dyDescent="0.6">
      <c r="A48" s="3" t="s">
        <v>35</v>
      </c>
      <c r="B48" s="4" t="str">
        <f>PROPER(_xlfn.XLOOKUP(Table1[[#This Row],[ID]],'Data Mentah'!$A$2:$A$101,'Data Mentah'!$B$2:$B$101,"",0))</f>
        <v>Hendra Gunawan</v>
      </c>
      <c r="C48" s="4" t="str">
        <f>_xlfn.XLOOKUP(Table1[[#This Row],[ID]],'Data Mentah'!$A$2:$A$101,'Data Mentah'!$C$2:$C$101,"",0)</f>
        <v>P-02</v>
      </c>
      <c r="D48" s="4" t="str">
        <f>VLOOKUP(Table1[[#This Row],[Kode Produk]],'Tabel Referensi'!$A$2:$B$6,2,FALSE)</f>
        <v>Mouse Wireless</v>
      </c>
      <c r="E48" s="11">
        <f>INDEX('Tabel Referensi'!$C$2:$C$6,MATCH(Table1[[#This Row],[Kode Produk]],'Tabel Referensi'!$A$2:$A$6,0))</f>
        <v>150000</v>
      </c>
      <c r="F48" s="4" t="str">
        <f>INDEX('Tabel Referensi'!$D$2:$D$6,MATCH(Table1[[#This Row],[Kode Produk]],'Tabel Referensi'!$A$2:$A$6,0))</f>
        <v>Aksesoris</v>
      </c>
      <c r="G48" s="10">
        <f>_xlfn.XLOOKUP(Table1[[#This Row],[ID]],'Data Mentah'!$A$1:$A$101,'Data Mentah'!$D$1:$D$101,"",0)</f>
        <v>45285</v>
      </c>
      <c r="H48" s="4">
        <f>_xlfn.XLOOKUP(Table1[[#This Row],[ID]],'Data Mentah'!$A$1:$A$101,'Data Mentah'!$E$1:$E$101,"",0)</f>
        <v>4</v>
      </c>
      <c r="I48" s="11">
        <f>Table1[[#This Row],[Harga Satuan]]*Table1[[#This Row],[Quantity]]</f>
        <v>600000</v>
      </c>
      <c r="J48" s="4" t="str">
        <f>INDEX('Data Mentah'!$F$2:$F$101,MATCH(Table1[[#This Row],[ID]],'Data Mentah'!$A$2:$A$101,0))</f>
        <v>Tidak</v>
      </c>
      <c r="K48" s="4" t="str">
        <f>IF(AND(Table1[[#This Row],[Member]]="Ya",Table1[[#This Row],[Total Harga]]&gt;=1000000),"10%","0%")</f>
        <v>0%</v>
      </c>
      <c r="L48" s="12">
        <f>Table1[[#This Row],[Total Harga]]*Table1[[#This Row],[Status Diskon]]</f>
        <v>0</v>
      </c>
      <c r="M48" s="5">
        <f>Table1[[#This Row],[Total Harga]]-Table1[[#This Row],[Nominal Diskon]]</f>
        <v>600000</v>
      </c>
    </row>
    <row r="49" spans="1:13" x14ac:dyDescent="0.6">
      <c r="A49" s="3" t="s">
        <v>74</v>
      </c>
      <c r="B49" s="4" t="str">
        <f>PROPER(_xlfn.XLOOKUP(Table1[[#This Row],[ID]],'Data Mentah'!$A$2:$A$101,'Data Mentah'!$B$2:$B$101,"",0))</f>
        <v>Hendra Gunawan</v>
      </c>
      <c r="C49" s="4" t="str">
        <f>_xlfn.XLOOKUP(Table1[[#This Row],[ID]],'Data Mentah'!$A$2:$A$101,'Data Mentah'!$C$2:$C$101,"",0)</f>
        <v>P-03</v>
      </c>
      <c r="D49" s="4" t="str">
        <f>VLOOKUP(Table1[[#This Row],[Kode Produk]],'Tabel Referensi'!$A$2:$B$6,2,FALSE)</f>
        <v>Keyboard Mechanical</v>
      </c>
      <c r="E49" s="11">
        <f>INDEX('Tabel Referensi'!$C$2:$C$6,MATCH(Table1[[#This Row],[Kode Produk]],'Tabel Referensi'!$A$2:$A$6,0))</f>
        <v>450000</v>
      </c>
      <c r="F49" s="4" t="str">
        <f>INDEX('Tabel Referensi'!$D$2:$D$6,MATCH(Table1[[#This Row],[Kode Produk]],'Tabel Referensi'!$A$2:$A$6,0))</f>
        <v>Aksesoris</v>
      </c>
      <c r="G49" s="10">
        <f>_xlfn.XLOOKUP(Table1[[#This Row],[ID]],'Data Mentah'!$A$1:$A$101,'Data Mentah'!$D$1:$D$101,"",0)</f>
        <v>45288</v>
      </c>
      <c r="H49" s="4">
        <f>_xlfn.XLOOKUP(Table1[[#This Row],[ID]],'Data Mentah'!$A$1:$A$101,'Data Mentah'!$E$1:$E$101,"",0)</f>
        <v>1</v>
      </c>
      <c r="I49" s="11">
        <f>Table1[[#This Row],[Harga Satuan]]*Table1[[#This Row],[Quantity]]</f>
        <v>450000</v>
      </c>
      <c r="J49" s="4" t="str">
        <f>INDEX('Data Mentah'!$F$2:$F$101,MATCH(Table1[[#This Row],[ID]],'Data Mentah'!$A$2:$A$101,0))</f>
        <v>Tidak</v>
      </c>
      <c r="K49" s="4" t="str">
        <f>IF(AND(Table1[[#This Row],[Member]]="Ya",Table1[[#This Row],[Total Harga]]&gt;=1000000),"10%","0%")</f>
        <v>0%</v>
      </c>
      <c r="L49" s="12">
        <f>Table1[[#This Row],[Total Harga]]*Table1[[#This Row],[Status Diskon]]</f>
        <v>0</v>
      </c>
      <c r="M49" s="5">
        <f>Table1[[#This Row],[Total Harga]]-Table1[[#This Row],[Nominal Diskon]]</f>
        <v>450000</v>
      </c>
    </row>
    <row r="50" spans="1:13" x14ac:dyDescent="0.6">
      <c r="A50" s="3" t="s">
        <v>99</v>
      </c>
      <c r="B50" s="4" t="str">
        <f>PROPER(_xlfn.XLOOKUP(Table1[[#This Row],[ID]],'Data Mentah'!$A$2:$A$101,'Data Mentah'!$B$2:$B$101,"",0))</f>
        <v>Hendra Gunawan</v>
      </c>
      <c r="C50" s="4" t="str">
        <f>_xlfn.XLOOKUP(Table1[[#This Row],[ID]],'Data Mentah'!$A$2:$A$101,'Data Mentah'!$C$2:$C$101,"",0)</f>
        <v>P-04</v>
      </c>
      <c r="D50" s="4" t="str">
        <f>VLOOKUP(Table1[[#This Row],[Kode Produk]],'Tabel Referensi'!$A$2:$B$6,2,FALSE)</f>
        <v>Monitor 27 Inch</v>
      </c>
      <c r="E50" s="11">
        <f>INDEX('Tabel Referensi'!$C$2:$C$6,MATCH(Table1[[#This Row],[Kode Produk]],'Tabel Referensi'!$A$2:$A$6,0))</f>
        <v>2100000</v>
      </c>
      <c r="F50" s="4" t="str">
        <f>INDEX('Tabel Referensi'!$D$2:$D$6,MATCH(Table1[[#This Row],[Kode Produk]],'Tabel Referensi'!$A$2:$A$6,0))</f>
        <v>Komputer</v>
      </c>
      <c r="G50" s="10">
        <f>_xlfn.XLOOKUP(Table1[[#This Row],[ID]],'Data Mentah'!$A$1:$A$101,'Data Mentah'!$D$1:$D$101,"",0)</f>
        <v>45290</v>
      </c>
      <c r="H50" s="4">
        <f>_xlfn.XLOOKUP(Table1[[#This Row],[ID]],'Data Mentah'!$A$1:$A$101,'Data Mentah'!$E$1:$E$101,"",0)</f>
        <v>1</v>
      </c>
      <c r="I50" s="11">
        <f>Table1[[#This Row],[Harga Satuan]]*Table1[[#This Row],[Quantity]]</f>
        <v>2100000</v>
      </c>
      <c r="J50" s="4" t="str">
        <f>INDEX('Data Mentah'!$F$2:$F$101,MATCH(Table1[[#This Row],[ID]],'Data Mentah'!$A$2:$A$101,0))</f>
        <v>Tidak</v>
      </c>
      <c r="K50" s="4" t="str">
        <f>IF(AND(Table1[[#This Row],[Member]]="Ya",Table1[[#This Row],[Total Harga]]&gt;=1000000),"10%","0%")</f>
        <v>0%</v>
      </c>
      <c r="L50" s="12">
        <f>Table1[[#This Row],[Total Harga]]*Table1[[#This Row],[Status Diskon]]</f>
        <v>0</v>
      </c>
      <c r="M50" s="5">
        <f>Table1[[#This Row],[Total Harga]]-Table1[[#This Row],[Nominal Diskon]]</f>
        <v>2100000</v>
      </c>
    </row>
    <row r="51" spans="1:13" x14ac:dyDescent="0.6">
      <c r="A51" s="3" t="s">
        <v>124</v>
      </c>
      <c r="B51" s="4" t="str">
        <f>PROPER(_xlfn.XLOOKUP(Table1[[#This Row],[ID]],'Data Mentah'!$A$2:$A$101,'Data Mentah'!$B$2:$B$101,"",0))</f>
        <v>Hendra Gunawan</v>
      </c>
      <c r="C51" s="4" t="str">
        <f>_xlfn.XLOOKUP(Table1[[#This Row],[ID]],'Data Mentah'!$A$2:$A$101,'Data Mentah'!$C$2:$C$101,"",0)</f>
        <v>P-05</v>
      </c>
      <c r="D51" s="4" t="str">
        <f>VLOOKUP(Table1[[#This Row],[Kode Produk]],'Tabel Referensi'!$A$2:$B$6,2,FALSE)</f>
        <v>Flashdisk 64GB</v>
      </c>
      <c r="E51" s="11">
        <f>INDEX('Tabel Referensi'!$C$2:$C$6,MATCH(Table1[[#This Row],[Kode Produk]],'Tabel Referensi'!$A$2:$A$6,0))</f>
        <v>95000</v>
      </c>
      <c r="F51" s="4" t="str">
        <f>INDEX('Tabel Referensi'!$D$2:$D$6,MATCH(Table1[[#This Row],[Kode Produk]],'Tabel Referensi'!$A$2:$A$6,0))</f>
        <v>Aksesoris</v>
      </c>
      <c r="G51" s="10">
        <f>_xlfn.XLOOKUP(Table1[[#This Row],[ID]],'Data Mentah'!$A$1:$A$101,'Data Mentah'!$D$1:$D$101,"",0)</f>
        <v>45296</v>
      </c>
      <c r="H51" s="4">
        <f>_xlfn.XLOOKUP(Table1[[#This Row],[ID]],'Data Mentah'!$A$1:$A$101,'Data Mentah'!$E$1:$E$101,"",0)</f>
        <v>3</v>
      </c>
      <c r="I51" s="11">
        <f>Table1[[#This Row],[Harga Satuan]]*Table1[[#This Row],[Quantity]]</f>
        <v>285000</v>
      </c>
      <c r="J51" s="4" t="str">
        <f>INDEX('Data Mentah'!$F$2:$F$101,MATCH(Table1[[#This Row],[ID]],'Data Mentah'!$A$2:$A$101,0))</f>
        <v>Tidak</v>
      </c>
      <c r="K51" s="4" t="str">
        <f>IF(AND(Table1[[#This Row],[Member]]="Ya",Table1[[#This Row],[Total Harga]]&gt;=1000000),"10%","0%")</f>
        <v>0%</v>
      </c>
      <c r="L51" s="12">
        <f>Table1[[#This Row],[Total Harga]]*Table1[[#This Row],[Status Diskon]]</f>
        <v>0</v>
      </c>
      <c r="M51" s="5">
        <f>Table1[[#This Row],[Total Harga]]-Table1[[#This Row],[Nominal Diskon]]</f>
        <v>285000</v>
      </c>
    </row>
    <row r="52" spans="1:13" x14ac:dyDescent="0.6">
      <c r="A52" s="3" t="s">
        <v>37</v>
      </c>
      <c r="B52" s="4" t="str">
        <f>PROPER(_xlfn.XLOOKUP(Table1[[#This Row],[ID]],'Data Mentah'!$A$2:$A$101,'Data Mentah'!$B$2:$B$101,"",0))</f>
        <v>Indra Bekti</v>
      </c>
      <c r="C52" s="4" t="str">
        <f>_xlfn.XLOOKUP(Table1[[#This Row],[ID]],'Data Mentah'!$A$2:$A$101,'Data Mentah'!$C$2:$C$101,"",0)</f>
        <v>P-03</v>
      </c>
      <c r="D52" s="4" t="str">
        <f>VLOOKUP(Table1[[#This Row],[Kode Produk]],'Tabel Referensi'!$A$2:$B$6,2,FALSE)</f>
        <v>Keyboard Mechanical</v>
      </c>
      <c r="E52" s="11">
        <f>INDEX('Tabel Referensi'!$C$2:$C$6,MATCH(Table1[[#This Row],[Kode Produk]],'Tabel Referensi'!$A$2:$A$6,0))</f>
        <v>450000</v>
      </c>
      <c r="F52" s="4" t="str">
        <f>INDEX('Tabel Referensi'!$D$2:$D$6,MATCH(Table1[[#This Row],[Kode Produk]],'Tabel Referensi'!$A$2:$A$6,0))</f>
        <v>Aksesoris</v>
      </c>
      <c r="G52" s="10">
        <f>_xlfn.XLOOKUP(Table1[[#This Row],[ID]],'Data Mentah'!$A$1:$A$101,'Data Mentah'!$D$1:$D$101,"",0)</f>
        <v>45301</v>
      </c>
      <c r="H52" s="4">
        <f>_xlfn.XLOOKUP(Table1[[#This Row],[ID]],'Data Mentah'!$A$1:$A$101,'Data Mentah'!$E$1:$E$101,"",0)</f>
        <v>2</v>
      </c>
      <c r="I52" s="11">
        <f>Table1[[#This Row],[Harga Satuan]]*Table1[[#This Row],[Quantity]]</f>
        <v>900000</v>
      </c>
      <c r="J52" s="4" t="str">
        <f>INDEX('Data Mentah'!$F$2:$F$101,MATCH(Table1[[#This Row],[ID]],'Data Mentah'!$A$2:$A$101,0))</f>
        <v>Ya</v>
      </c>
      <c r="K52" s="4" t="str">
        <f>IF(AND(Table1[[#This Row],[Member]]="Ya",Table1[[#This Row],[Total Harga]]&gt;=1000000),"10%","0%")</f>
        <v>0%</v>
      </c>
      <c r="L52" s="12">
        <f>Table1[[#This Row],[Total Harga]]*Table1[[#This Row],[Status Diskon]]</f>
        <v>0</v>
      </c>
      <c r="M52" s="5">
        <f>Table1[[#This Row],[Total Harga]]-Table1[[#This Row],[Nominal Diskon]]</f>
        <v>900000</v>
      </c>
    </row>
    <row r="53" spans="1:13" x14ac:dyDescent="0.6">
      <c r="A53" s="3" t="s">
        <v>75</v>
      </c>
      <c r="B53" s="4" t="str">
        <f>PROPER(_xlfn.XLOOKUP(Table1[[#This Row],[ID]],'Data Mentah'!$A$2:$A$101,'Data Mentah'!$B$2:$B$101,"",0))</f>
        <v>Indra Bekti</v>
      </c>
      <c r="C53" s="4" t="str">
        <f>_xlfn.XLOOKUP(Table1[[#This Row],[ID]],'Data Mentah'!$A$2:$A$101,'Data Mentah'!$C$2:$C$101,"",0)</f>
        <v>P-04</v>
      </c>
      <c r="D53" s="4" t="str">
        <f>VLOOKUP(Table1[[#This Row],[Kode Produk]],'Tabel Referensi'!$A$2:$B$6,2,FALSE)</f>
        <v>Monitor 27 Inch</v>
      </c>
      <c r="E53" s="11">
        <f>INDEX('Tabel Referensi'!$C$2:$C$6,MATCH(Table1[[#This Row],[Kode Produk]],'Tabel Referensi'!$A$2:$A$6,0))</f>
        <v>2100000</v>
      </c>
      <c r="F53" s="4" t="str">
        <f>INDEX('Tabel Referensi'!$D$2:$D$6,MATCH(Table1[[#This Row],[Kode Produk]],'Tabel Referensi'!$A$2:$A$6,0))</f>
        <v>Komputer</v>
      </c>
      <c r="G53" s="10">
        <f>_xlfn.XLOOKUP(Table1[[#This Row],[ID]],'Data Mentah'!$A$1:$A$101,'Data Mentah'!$D$1:$D$101,"",0)</f>
        <v>45303</v>
      </c>
      <c r="H53" s="4">
        <f>_xlfn.XLOOKUP(Table1[[#This Row],[ID]],'Data Mentah'!$A$1:$A$101,'Data Mentah'!$E$1:$E$101,"",0)</f>
        <v>3</v>
      </c>
      <c r="I53" s="11">
        <f>Table1[[#This Row],[Harga Satuan]]*Table1[[#This Row],[Quantity]]</f>
        <v>6300000</v>
      </c>
      <c r="J53" s="4" t="str">
        <f>INDEX('Data Mentah'!$F$2:$F$101,MATCH(Table1[[#This Row],[ID]],'Data Mentah'!$A$2:$A$101,0))</f>
        <v>Ya</v>
      </c>
      <c r="K53" s="4" t="str">
        <f>IF(AND(Table1[[#This Row],[Member]]="Ya",Table1[[#This Row],[Total Harga]]&gt;=1000000),"10%","0%")</f>
        <v>10%</v>
      </c>
      <c r="L53" s="12">
        <f>Table1[[#This Row],[Total Harga]]*Table1[[#This Row],[Status Diskon]]</f>
        <v>630000</v>
      </c>
      <c r="M53" s="5">
        <f>Table1[[#This Row],[Total Harga]]-Table1[[#This Row],[Nominal Diskon]]</f>
        <v>5670000</v>
      </c>
    </row>
    <row r="54" spans="1:13" x14ac:dyDescent="0.6">
      <c r="A54" s="3" t="s">
        <v>100</v>
      </c>
      <c r="B54" s="4" t="str">
        <f>PROPER(_xlfn.XLOOKUP(Table1[[#This Row],[ID]],'Data Mentah'!$A$2:$A$101,'Data Mentah'!$B$2:$B$101,"",0))</f>
        <v>Indra Bekti</v>
      </c>
      <c r="C54" s="4" t="str">
        <f>_xlfn.XLOOKUP(Table1[[#This Row],[ID]],'Data Mentah'!$A$2:$A$101,'Data Mentah'!$C$2:$C$101,"",0)</f>
        <v>P-05</v>
      </c>
      <c r="D54" s="4" t="str">
        <f>VLOOKUP(Table1[[#This Row],[Kode Produk]],'Tabel Referensi'!$A$2:$B$6,2,FALSE)</f>
        <v>Flashdisk 64GB</v>
      </c>
      <c r="E54" s="11">
        <f>INDEX('Tabel Referensi'!$C$2:$C$6,MATCH(Table1[[#This Row],[Kode Produk]],'Tabel Referensi'!$A$2:$A$6,0))</f>
        <v>95000</v>
      </c>
      <c r="F54" s="4" t="str">
        <f>INDEX('Tabel Referensi'!$D$2:$D$6,MATCH(Table1[[#This Row],[Kode Produk]],'Tabel Referensi'!$A$2:$A$6,0))</f>
        <v>Aksesoris</v>
      </c>
      <c r="G54" s="10">
        <f>_xlfn.XLOOKUP(Table1[[#This Row],[ID]],'Data Mentah'!$A$1:$A$101,'Data Mentah'!$D$1:$D$101,"",0)</f>
        <v>45306</v>
      </c>
      <c r="H54" s="4">
        <f>_xlfn.XLOOKUP(Table1[[#This Row],[ID]],'Data Mentah'!$A$1:$A$101,'Data Mentah'!$E$1:$E$101,"",0)</f>
        <v>3</v>
      </c>
      <c r="I54" s="11">
        <f>Table1[[#This Row],[Harga Satuan]]*Table1[[#This Row],[Quantity]]</f>
        <v>285000</v>
      </c>
      <c r="J54" s="4" t="str">
        <f>INDEX('Data Mentah'!$F$2:$F$101,MATCH(Table1[[#This Row],[ID]],'Data Mentah'!$A$2:$A$101,0))</f>
        <v>Ya</v>
      </c>
      <c r="K54" s="4" t="str">
        <f>IF(AND(Table1[[#This Row],[Member]]="Ya",Table1[[#This Row],[Total Harga]]&gt;=1000000),"10%","0%")</f>
        <v>0%</v>
      </c>
      <c r="L54" s="12">
        <f>Table1[[#This Row],[Total Harga]]*Table1[[#This Row],[Status Diskon]]</f>
        <v>0</v>
      </c>
      <c r="M54" s="5">
        <f>Table1[[#This Row],[Total Harga]]-Table1[[#This Row],[Nominal Diskon]]</f>
        <v>285000</v>
      </c>
    </row>
    <row r="55" spans="1:13" x14ac:dyDescent="0.6">
      <c r="A55" s="3" t="s">
        <v>125</v>
      </c>
      <c r="B55" s="4" t="str">
        <f>PROPER(_xlfn.XLOOKUP(Table1[[#This Row],[ID]],'Data Mentah'!$A$2:$A$101,'Data Mentah'!$B$2:$B$101,"",0))</f>
        <v>Indra Bekti</v>
      </c>
      <c r="C55" s="4" t="str">
        <f>_xlfn.XLOOKUP(Table1[[#This Row],[ID]],'Data Mentah'!$A$2:$A$101,'Data Mentah'!$C$2:$C$101,"",0)</f>
        <v>P-01</v>
      </c>
      <c r="D55" s="4" t="str">
        <f>VLOOKUP(Table1[[#This Row],[Kode Produk]],'Tabel Referensi'!$A$2:$B$6,2,FALSE)</f>
        <v>Laptop Pro 14</v>
      </c>
      <c r="E55" s="11">
        <f>INDEX('Tabel Referensi'!$C$2:$C$6,MATCH(Table1[[#This Row],[Kode Produk]],'Tabel Referensi'!$A$2:$A$6,0))</f>
        <v>12500000</v>
      </c>
      <c r="F55" s="4" t="str">
        <f>INDEX('Tabel Referensi'!$D$2:$D$6,MATCH(Table1[[#This Row],[Kode Produk]],'Tabel Referensi'!$A$2:$A$6,0))</f>
        <v>Komputer</v>
      </c>
      <c r="G55" s="10">
        <f>_xlfn.XLOOKUP(Table1[[#This Row],[ID]],'Data Mentah'!$A$1:$A$101,'Data Mentah'!$D$1:$D$101,"",0)</f>
        <v>45309</v>
      </c>
      <c r="H55" s="4">
        <f>_xlfn.XLOOKUP(Table1[[#This Row],[ID]],'Data Mentah'!$A$1:$A$101,'Data Mentah'!$E$1:$E$101,"",0)</f>
        <v>1</v>
      </c>
      <c r="I55" s="11">
        <f>Table1[[#This Row],[Harga Satuan]]*Table1[[#This Row],[Quantity]]</f>
        <v>12500000</v>
      </c>
      <c r="J55" s="4" t="str">
        <f>INDEX('Data Mentah'!$F$2:$F$101,MATCH(Table1[[#This Row],[ID]],'Data Mentah'!$A$2:$A$101,0))</f>
        <v>Ya</v>
      </c>
      <c r="K55" s="4" t="str">
        <f>IF(AND(Table1[[#This Row],[Member]]="Ya",Table1[[#This Row],[Total Harga]]&gt;=1000000),"10%","0%")</f>
        <v>10%</v>
      </c>
      <c r="L55" s="12">
        <f>Table1[[#This Row],[Total Harga]]*Table1[[#This Row],[Status Diskon]]</f>
        <v>1250000</v>
      </c>
      <c r="M55" s="5">
        <f>Table1[[#This Row],[Total Harga]]-Table1[[#This Row],[Nominal Diskon]]</f>
        <v>11250000</v>
      </c>
    </row>
    <row r="56" spans="1:13" x14ac:dyDescent="0.6">
      <c r="A56" s="3" t="s">
        <v>39</v>
      </c>
      <c r="B56" s="4" t="str">
        <f>PROPER(_xlfn.XLOOKUP(Table1[[#This Row],[ID]],'Data Mentah'!$A$2:$A$101,'Data Mentah'!$B$2:$B$101,"",0))</f>
        <v>Joko Widodo</v>
      </c>
      <c r="C56" s="4" t="str">
        <f>_xlfn.XLOOKUP(Table1[[#This Row],[ID]],'Data Mentah'!$A$2:$A$101,'Data Mentah'!$C$2:$C$101,"",0)</f>
        <v>P-04</v>
      </c>
      <c r="D56" s="4" t="str">
        <f>VLOOKUP(Table1[[#This Row],[Kode Produk]],'Tabel Referensi'!$A$2:$B$6,2,FALSE)</f>
        <v>Monitor 27 Inch</v>
      </c>
      <c r="E56" s="11">
        <f>INDEX('Tabel Referensi'!$C$2:$C$6,MATCH(Table1[[#This Row],[Kode Produk]],'Tabel Referensi'!$A$2:$A$6,0))</f>
        <v>2100000</v>
      </c>
      <c r="F56" s="4" t="str">
        <f>INDEX('Tabel Referensi'!$D$2:$D$6,MATCH(Table1[[#This Row],[Kode Produk]],'Tabel Referensi'!$A$2:$A$6,0))</f>
        <v>Komputer</v>
      </c>
      <c r="G56" s="10">
        <f>_xlfn.XLOOKUP(Table1[[#This Row],[ID]],'Data Mentah'!$A$1:$A$101,'Data Mentah'!$D$1:$D$101,"",0)</f>
        <v>45336</v>
      </c>
      <c r="H56" s="4">
        <f>_xlfn.XLOOKUP(Table1[[#This Row],[ID]],'Data Mentah'!$A$1:$A$101,'Data Mentah'!$E$1:$E$101,"",0)</f>
        <v>1</v>
      </c>
      <c r="I56" s="11">
        <f>Table1[[#This Row],[Harga Satuan]]*Table1[[#This Row],[Quantity]]</f>
        <v>2100000</v>
      </c>
      <c r="J56" s="4" t="str">
        <f>INDEX('Data Mentah'!$F$2:$F$101,MATCH(Table1[[#This Row],[ID]],'Data Mentah'!$A$2:$A$101,0))</f>
        <v>Tidak</v>
      </c>
      <c r="K56" s="4" t="str">
        <f>IF(AND(Table1[[#This Row],[Member]]="Ya",Table1[[#This Row],[Total Harga]]&gt;=1000000),"10%","0%")</f>
        <v>0%</v>
      </c>
      <c r="L56" s="12">
        <f>Table1[[#This Row],[Total Harga]]*Table1[[#This Row],[Status Diskon]]</f>
        <v>0</v>
      </c>
      <c r="M56" s="5">
        <f>Table1[[#This Row],[Total Harga]]-Table1[[#This Row],[Nominal Diskon]]</f>
        <v>2100000</v>
      </c>
    </row>
    <row r="57" spans="1:13" x14ac:dyDescent="0.6">
      <c r="A57" s="3" t="s">
        <v>76</v>
      </c>
      <c r="B57" s="4" t="str">
        <f>PROPER(_xlfn.XLOOKUP(Table1[[#This Row],[ID]],'Data Mentah'!$A$2:$A$101,'Data Mentah'!$B$2:$B$101,"",0))</f>
        <v>Joko Widodo</v>
      </c>
      <c r="C57" s="4" t="str">
        <f>_xlfn.XLOOKUP(Table1[[#This Row],[ID]],'Data Mentah'!$A$2:$A$101,'Data Mentah'!$C$2:$C$101,"",0)</f>
        <v>P-05</v>
      </c>
      <c r="D57" s="4" t="str">
        <f>VLOOKUP(Table1[[#This Row],[Kode Produk]],'Tabel Referensi'!$A$2:$B$6,2,FALSE)</f>
        <v>Flashdisk 64GB</v>
      </c>
      <c r="E57" s="11">
        <f>INDEX('Tabel Referensi'!$C$2:$C$6,MATCH(Table1[[#This Row],[Kode Produk]],'Tabel Referensi'!$A$2:$A$6,0))</f>
        <v>95000</v>
      </c>
      <c r="F57" s="4" t="str">
        <f>INDEX('Tabel Referensi'!$D$2:$D$6,MATCH(Table1[[#This Row],[Kode Produk]],'Tabel Referensi'!$A$2:$A$6,0))</f>
        <v>Aksesoris</v>
      </c>
      <c r="G57" s="10">
        <f>_xlfn.XLOOKUP(Table1[[#This Row],[ID]],'Data Mentah'!$A$1:$A$101,'Data Mentah'!$D$1:$D$101,"",0)</f>
        <v>45340</v>
      </c>
      <c r="H57" s="4">
        <f>_xlfn.XLOOKUP(Table1[[#This Row],[ID]],'Data Mentah'!$A$1:$A$101,'Data Mentah'!$E$1:$E$101,"",0)</f>
        <v>2</v>
      </c>
      <c r="I57" s="11">
        <f>Table1[[#This Row],[Harga Satuan]]*Table1[[#This Row],[Quantity]]</f>
        <v>190000</v>
      </c>
      <c r="J57" s="4" t="str">
        <f>INDEX('Data Mentah'!$F$2:$F$101,MATCH(Table1[[#This Row],[ID]],'Data Mentah'!$A$2:$A$101,0))</f>
        <v>Tidak</v>
      </c>
      <c r="K57" s="4" t="str">
        <f>IF(AND(Table1[[#This Row],[Member]]="Ya",Table1[[#This Row],[Total Harga]]&gt;=1000000),"10%","0%")</f>
        <v>0%</v>
      </c>
      <c r="L57" s="12">
        <f>Table1[[#This Row],[Total Harga]]*Table1[[#This Row],[Status Diskon]]</f>
        <v>0</v>
      </c>
      <c r="M57" s="5">
        <f>Table1[[#This Row],[Total Harga]]-Table1[[#This Row],[Nominal Diskon]]</f>
        <v>190000</v>
      </c>
    </row>
    <row r="58" spans="1:13" x14ac:dyDescent="0.6">
      <c r="A58" s="3" t="s">
        <v>101</v>
      </c>
      <c r="B58" s="4" t="str">
        <f>PROPER(_xlfn.XLOOKUP(Table1[[#This Row],[ID]],'Data Mentah'!$A$2:$A$101,'Data Mentah'!$B$2:$B$101,"",0))</f>
        <v>Joko Widodo</v>
      </c>
      <c r="C58" s="4" t="str">
        <f>_xlfn.XLOOKUP(Table1[[#This Row],[ID]],'Data Mentah'!$A$2:$A$101,'Data Mentah'!$C$2:$C$101,"",0)</f>
        <v>P-01</v>
      </c>
      <c r="D58" s="4" t="str">
        <f>VLOOKUP(Table1[[#This Row],[Kode Produk]],'Tabel Referensi'!$A$2:$B$6,2,FALSE)</f>
        <v>Laptop Pro 14</v>
      </c>
      <c r="E58" s="11">
        <f>INDEX('Tabel Referensi'!$C$2:$C$6,MATCH(Table1[[#This Row],[Kode Produk]],'Tabel Referensi'!$A$2:$A$6,0))</f>
        <v>12500000</v>
      </c>
      <c r="F58" s="4" t="str">
        <f>INDEX('Tabel Referensi'!$D$2:$D$6,MATCH(Table1[[#This Row],[Kode Produk]],'Tabel Referensi'!$A$2:$A$6,0))</f>
        <v>Komputer</v>
      </c>
      <c r="G58" s="10">
        <f>_xlfn.XLOOKUP(Table1[[#This Row],[ID]],'Data Mentah'!$A$1:$A$101,'Data Mentah'!$D$1:$D$101,"",0)</f>
        <v>45344</v>
      </c>
      <c r="H58" s="4">
        <f>_xlfn.XLOOKUP(Table1[[#This Row],[ID]],'Data Mentah'!$A$1:$A$101,'Data Mentah'!$E$1:$E$101,"",0)</f>
        <v>1</v>
      </c>
      <c r="I58" s="11">
        <f>Table1[[#This Row],[Harga Satuan]]*Table1[[#This Row],[Quantity]]</f>
        <v>12500000</v>
      </c>
      <c r="J58" s="4" t="str">
        <f>INDEX('Data Mentah'!$F$2:$F$101,MATCH(Table1[[#This Row],[ID]],'Data Mentah'!$A$2:$A$101,0))</f>
        <v>Tidak</v>
      </c>
      <c r="K58" s="4" t="str">
        <f>IF(AND(Table1[[#This Row],[Member]]="Ya",Table1[[#This Row],[Total Harga]]&gt;=1000000),"10%","0%")</f>
        <v>0%</v>
      </c>
      <c r="L58" s="12">
        <f>Table1[[#This Row],[Total Harga]]*Table1[[#This Row],[Status Diskon]]</f>
        <v>0</v>
      </c>
      <c r="M58" s="5">
        <f>Table1[[#This Row],[Total Harga]]-Table1[[#This Row],[Nominal Diskon]]</f>
        <v>12500000</v>
      </c>
    </row>
    <row r="59" spans="1:13" x14ac:dyDescent="0.6">
      <c r="A59" s="3" t="s">
        <v>126</v>
      </c>
      <c r="B59" s="4" t="str">
        <f>PROPER(_xlfn.XLOOKUP(Table1[[#This Row],[ID]],'Data Mentah'!$A$2:$A$101,'Data Mentah'!$B$2:$B$101,"",0))</f>
        <v>Joko Widodo</v>
      </c>
      <c r="C59" s="4" t="str">
        <f>_xlfn.XLOOKUP(Table1[[#This Row],[ID]],'Data Mentah'!$A$2:$A$101,'Data Mentah'!$C$2:$C$101,"",0)</f>
        <v>P-02</v>
      </c>
      <c r="D59" s="4" t="str">
        <f>VLOOKUP(Table1[[#This Row],[Kode Produk]],'Tabel Referensi'!$A$2:$B$6,2,FALSE)</f>
        <v>Mouse Wireless</v>
      </c>
      <c r="E59" s="11">
        <f>INDEX('Tabel Referensi'!$C$2:$C$6,MATCH(Table1[[#This Row],[Kode Produk]],'Tabel Referensi'!$A$2:$A$6,0))</f>
        <v>150000</v>
      </c>
      <c r="F59" s="4" t="str">
        <f>INDEX('Tabel Referensi'!$D$2:$D$6,MATCH(Table1[[#This Row],[Kode Produk]],'Tabel Referensi'!$A$2:$A$6,0))</f>
        <v>Aksesoris</v>
      </c>
      <c r="G59" s="10">
        <f>_xlfn.XLOOKUP(Table1[[#This Row],[ID]],'Data Mentah'!$A$1:$A$101,'Data Mentah'!$D$1:$D$101,"",0)</f>
        <v>45347</v>
      </c>
      <c r="H59" s="4">
        <f>_xlfn.XLOOKUP(Table1[[#This Row],[ID]],'Data Mentah'!$A$1:$A$101,'Data Mentah'!$E$1:$E$101,"",0)</f>
        <v>4</v>
      </c>
      <c r="I59" s="11">
        <f>Table1[[#This Row],[Harga Satuan]]*Table1[[#This Row],[Quantity]]</f>
        <v>600000</v>
      </c>
      <c r="J59" s="4" t="str">
        <f>INDEX('Data Mentah'!$F$2:$F$101,MATCH(Table1[[#This Row],[ID]],'Data Mentah'!$A$2:$A$101,0))</f>
        <v>Tidak</v>
      </c>
      <c r="K59" s="4" t="str">
        <f>IF(AND(Table1[[#This Row],[Member]]="Ya",Table1[[#This Row],[Total Harga]]&gt;=1000000),"10%","0%")</f>
        <v>0%</v>
      </c>
      <c r="L59" s="12">
        <f>Table1[[#This Row],[Total Harga]]*Table1[[#This Row],[Status Diskon]]</f>
        <v>0</v>
      </c>
      <c r="M59" s="5">
        <f>Table1[[#This Row],[Total Harga]]-Table1[[#This Row],[Nominal Diskon]]</f>
        <v>600000</v>
      </c>
    </row>
    <row r="60" spans="1:13" x14ac:dyDescent="0.6">
      <c r="A60" s="3" t="s">
        <v>41</v>
      </c>
      <c r="B60" s="4" t="str">
        <f>PROPER(_xlfn.XLOOKUP(Table1[[#This Row],[ID]],'Data Mentah'!$A$2:$A$101,'Data Mentah'!$B$2:$B$101,"",0))</f>
        <v>Kiki Amalia</v>
      </c>
      <c r="C60" s="4" t="str">
        <f>_xlfn.XLOOKUP(Table1[[#This Row],[ID]],'Data Mentah'!$A$2:$A$101,'Data Mentah'!$C$2:$C$101,"",0)</f>
        <v>P-05</v>
      </c>
      <c r="D60" s="4" t="str">
        <f>VLOOKUP(Table1[[#This Row],[Kode Produk]],'Tabel Referensi'!$A$2:$B$6,2,FALSE)</f>
        <v>Flashdisk 64GB</v>
      </c>
      <c r="E60" s="11">
        <f>INDEX('Tabel Referensi'!$C$2:$C$6,MATCH(Table1[[#This Row],[Kode Produk]],'Tabel Referensi'!$A$2:$A$6,0))</f>
        <v>95000</v>
      </c>
      <c r="F60" s="4" t="str">
        <f>INDEX('Tabel Referensi'!$D$2:$D$6,MATCH(Table1[[#This Row],[Kode Produk]],'Tabel Referensi'!$A$2:$A$6,0))</f>
        <v>Aksesoris</v>
      </c>
      <c r="G60" s="10">
        <f>_xlfn.XLOOKUP(Table1[[#This Row],[ID]],'Data Mentah'!$A$1:$A$101,'Data Mentah'!$D$1:$D$101,"",0)</f>
        <v>45356</v>
      </c>
      <c r="H60" s="4">
        <f>_xlfn.XLOOKUP(Table1[[#This Row],[ID]],'Data Mentah'!$A$1:$A$101,'Data Mentah'!$E$1:$E$101,"",0)</f>
        <v>8</v>
      </c>
      <c r="I60" s="11">
        <f>Table1[[#This Row],[Harga Satuan]]*Table1[[#This Row],[Quantity]]</f>
        <v>760000</v>
      </c>
      <c r="J60" s="4" t="str">
        <f>INDEX('Data Mentah'!$F$2:$F$101,MATCH(Table1[[#This Row],[ID]],'Data Mentah'!$A$2:$A$101,0))</f>
        <v>Ya</v>
      </c>
      <c r="K60" s="4" t="str">
        <f>IF(AND(Table1[[#This Row],[Member]]="Ya",Table1[[#This Row],[Total Harga]]&gt;=1000000),"10%","0%")</f>
        <v>0%</v>
      </c>
      <c r="L60" s="12">
        <f>Table1[[#This Row],[Total Harga]]*Table1[[#This Row],[Status Diskon]]</f>
        <v>0</v>
      </c>
      <c r="M60" s="5">
        <f>Table1[[#This Row],[Total Harga]]-Table1[[#This Row],[Nominal Diskon]]</f>
        <v>760000</v>
      </c>
    </row>
    <row r="61" spans="1:13" x14ac:dyDescent="0.6">
      <c r="A61" s="3" t="s">
        <v>77</v>
      </c>
      <c r="B61" s="4" t="str">
        <f>PROPER(_xlfn.XLOOKUP(Table1[[#This Row],[ID]],'Data Mentah'!$A$2:$A$101,'Data Mentah'!$B$2:$B$101,"",0))</f>
        <v>Kiki Amalia</v>
      </c>
      <c r="C61" s="4" t="str">
        <f>_xlfn.XLOOKUP(Table1[[#This Row],[ID]],'Data Mentah'!$A$2:$A$101,'Data Mentah'!$C$2:$C$101,"",0)</f>
        <v>P-01</v>
      </c>
      <c r="D61" s="4" t="str">
        <f>VLOOKUP(Table1[[#This Row],[Kode Produk]],'Tabel Referensi'!$A$2:$B$6,2,FALSE)</f>
        <v>Laptop Pro 14</v>
      </c>
      <c r="E61" s="11">
        <f>INDEX('Tabel Referensi'!$C$2:$C$6,MATCH(Table1[[#This Row],[Kode Produk]],'Tabel Referensi'!$A$2:$A$6,0))</f>
        <v>12500000</v>
      </c>
      <c r="F61" s="4" t="str">
        <f>INDEX('Tabel Referensi'!$D$2:$D$6,MATCH(Table1[[#This Row],[Kode Produk]],'Tabel Referensi'!$A$2:$A$6,0))</f>
        <v>Komputer</v>
      </c>
      <c r="G61" s="10">
        <f>_xlfn.XLOOKUP(Table1[[#This Row],[ID]],'Data Mentah'!$A$1:$A$101,'Data Mentah'!$D$1:$D$101,"",0)</f>
        <v>45359</v>
      </c>
      <c r="H61" s="4">
        <f>_xlfn.XLOOKUP(Table1[[#This Row],[ID]],'Data Mentah'!$A$1:$A$101,'Data Mentah'!$E$1:$E$101,"",0)</f>
        <v>1</v>
      </c>
      <c r="I61" s="11">
        <f>Table1[[#This Row],[Harga Satuan]]*Table1[[#This Row],[Quantity]]</f>
        <v>12500000</v>
      </c>
      <c r="J61" s="4" t="str">
        <f>INDEX('Data Mentah'!$F$2:$F$101,MATCH(Table1[[#This Row],[ID]],'Data Mentah'!$A$2:$A$101,0))</f>
        <v>Ya</v>
      </c>
      <c r="K61" s="4" t="str">
        <f>IF(AND(Table1[[#This Row],[Member]]="Ya",Table1[[#This Row],[Total Harga]]&gt;=1000000),"10%","0%")</f>
        <v>10%</v>
      </c>
      <c r="L61" s="12">
        <f>Table1[[#This Row],[Total Harga]]*Table1[[#This Row],[Status Diskon]]</f>
        <v>1250000</v>
      </c>
      <c r="M61" s="5">
        <f>Table1[[#This Row],[Total Harga]]-Table1[[#This Row],[Nominal Diskon]]</f>
        <v>11250000</v>
      </c>
    </row>
    <row r="62" spans="1:13" x14ac:dyDescent="0.6">
      <c r="A62" s="3" t="s">
        <v>102</v>
      </c>
      <c r="B62" s="4" t="str">
        <f>PROPER(_xlfn.XLOOKUP(Table1[[#This Row],[ID]],'Data Mentah'!$A$2:$A$101,'Data Mentah'!$B$2:$B$101,"",0))</f>
        <v>Kiki Amalia</v>
      </c>
      <c r="C62" s="4" t="str">
        <f>_xlfn.XLOOKUP(Table1[[#This Row],[ID]],'Data Mentah'!$A$2:$A$101,'Data Mentah'!$C$2:$C$101,"",0)</f>
        <v>P-02</v>
      </c>
      <c r="D62" s="4" t="str">
        <f>VLOOKUP(Table1[[#This Row],[Kode Produk]],'Tabel Referensi'!$A$2:$B$6,2,FALSE)</f>
        <v>Mouse Wireless</v>
      </c>
      <c r="E62" s="11">
        <f>INDEX('Tabel Referensi'!$C$2:$C$6,MATCH(Table1[[#This Row],[Kode Produk]],'Tabel Referensi'!$A$2:$A$6,0))</f>
        <v>150000</v>
      </c>
      <c r="F62" s="4" t="str">
        <f>INDEX('Tabel Referensi'!$D$2:$D$6,MATCH(Table1[[#This Row],[Kode Produk]],'Tabel Referensi'!$A$2:$A$6,0))</f>
        <v>Aksesoris</v>
      </c>
      <c r="G62" s="10">
        <f>_xlfn.XLOOKUP(Table1[[#This Row],[ID]],'Data Mentah'!$A$1:$A$101,'Data Mentah'!$D$1:$D$101,"",0)</f>
        <v>45363</v>
      </c>
      <c r="H62" s="4">
        <f>_xlfn.XLOOKUP(Table1[[#This Row],[ID]],'Data Mentah'!$A$1:$A$101,'Data Mentah'!$E$1:$E$101,"",0)</f>
        <v>5</v>
      </c>
      <c r="I62" s="11">
        <f>Table1[[#This Row],[Harga Satuan]]*Table1[[#This Row],[Quantity]]</f>
        <v>750000</v>
      </c>
      <c r="J62" s="4" t="str">
        <f>INDEX('Data Mentah'!$F$2:$F$101,MATCH(Table1[[#This Row],[ID]],'Data Mentah'!$A$2:$A$101,0))</f>
        <v>Ya</v>
      </c>
      <c r="K62" s="4" t="str">
        <f>IF(AND(Table1[[#This Row],[Member]]="Ya",Table1[[#This Row],[Total Harga]]&gt;=1000000),"10%","0%")</f>
        <v>0%</v>
      </c>
      <c r="L62" s="12">
        <f>Table1[[#This Row],[Total Harga]]*Table1[[#This Row],[Status Diskon]]</f>
        <v>0</v>
      </c>
      <c r="M62" s="5">
        <f>Table1[[#This Row],[Total Harga]]-Table1[[#This Row],[Nominal Diskon]]</f>
        <v>750000</v>
      </c>
    </row>
    <row r="63" spans="1:13" x14ac:dyDescent="0.6">
      <c r="A63" s="3" t="s">
        <v>127</v>
      </c>
      <c r="B63" s="4" t="str">
        <f>PROPER(_xlfn.XLOOKUP(Table1[[#This Row],[ID]],'Data Mentah'!$A$2:$A$101,'Data Mentah'!$B$2:$B$101,"",0))</f>
        <v>Kiki Amalia</v>
      </c>
      <c r="C63" s="4" t="str">
        <f>_xlfn.XLOOKUP(Table1[[#This Row],[ID]],'Data Mentah'!$A$2:$A$101,'Data Mentah'!$C$2:$C$101,"",0)</f>
        <v>P-03</v>
      </c>
      <c r="D63" s="4" t="str">
        <f>VLOOKUP(Table1[[#This Row],[Kode Produk]],'Tabel Referensi'!$A$2:$B$6,2,FALSE)</f>
        <v>Keyboard Mechanical</v>
      </c>
      <c r="E63" s="11">
        <f>INDEX('Tabel Referensi'!$C$2:$C$6,MATCH(Table1[[#This Row],[Kode Produk]],'Tabel Referensi'!$A$2:$A$6,0))</f>
        <v>450000</v>
      </c>
      <c r="F63" s="4" t="str">
        <f>INDEX('Tabel Referensi'!$D$2:$D$6,MATCH(Table1[[#This Row],[Kode Produk]],'Tabel Referensi'!$A$2:$A$6,0))</f>
        <v>Aksesoris</v>
      </c>
      <c r="G63" s="10">
        <f>_xlfn.XLOOKUP(Table1[[#This Row],[ID]],'Data Mentah'!$A$1:$A$101,'Data Mentah'!$D$1:$D$101,"",0)</f>
        <v>45366</v>
      </c>
      <c r="H63" s="4">
        <f>_xlfn.XLOOKUP(Table1[[#This Row],[ID]],'Data Mentah'!$A$1:$A$101,'Data Mentah'!$E$1:$E$101,"",0)</f>
        <v>2</v>
      </c>
      <c r="I63" s="11">
        <f>Table1[[#This Row],[Harga Satuan]]*Table1[[#This Row],[Quantity]]</f>
        <v>900000</v>
      </c>
      <c r="J63" s="4" t="str">
        <f>INDEX('Data Mentah'!$F$2:$F$101,MATCH(Table1[[#This Row],[ID]],'Data Mentah'!$A$2:$A$101,0))</f>
        <v>Ya</v>
      </c>
      <c r="K63" s="4" t="str">
        <f>IF(AND(Table1[[#This Row],[Member]]="Ya",Table1[[#This Row],[Total Harga]]&gt;=1000000),"10%","0%")</f>
        <v>0%</v>
      </c>
      <c r="L63" s="12">
        <f>Table1[[#This Row],[Total Harga]]*Table1[[#This Row],[Status Diskon]]</f>
        <v>0</v>
      </c>
      <c r="M63" s="5">
        <f>Table1[[#This Row],[Total Harga]]-Table1[[#This Row],[Nominal Diskon]]</f>
        <v>900000</v>
      </c>
    </row>
    <row r="64" spans="1:13" x14ac:dyDescent="0.6">
      <c r="A64" s="3" t="s">
        <v>43</v>
      </c>
      <c r="B64" s="4" t="str">
        <f>PROPER(_xlfn.XLOOKUP(Table1[[#This Row],[ID]],'Data Mentah'!$A$2:$A$101,'Data Mentah'!$B$2:$B$101,"",0))</f>
        <v>Lina Marlina</v>
      </c>
      <c r="C64" s="4" t="str">
        <f>_xlfn.XLOOKUP(Table1[[#This Row],[ID]],'Data Mentah'!$A$2:$A$101,'Data Mentah'!$C$2:$C$101,"",0)</f>
        <v>P-01</v>
      </c>
      <c r="D64" s="4" t="str">
        <f>VLOOKUP(Table1[[#This Row],[Kode Produk]],'Tabel Referensi'!$A$2:$B$6,2,FALSE)</f>
        <v>Laptop Pro 14</v>
      </c>
      <c r="E64" s="11">
        <f>INDEX('Tabel Referensi'!$C$2:$C$6,MATCH(Table1[[#This Row],[Kode Produk]],'Tabel Referensi'!$A$2:$A$6,0))</f>
        <v>12500000</v>
      </c>
      <c r="F64" s="4" t="str">
        <f>INDEX('Tabel Referensi'!$D$2:$D$6,MATCH(Table1[[#This Row],[Kode Produk]],'Tabel Referensi'!$A$2:$A$6,0))</f>
        <v>Komputer</v>
      </c>
      <c r="G64" s="10">
        <f>_xlfn.XLOOKUP(Table1[[#This Row],[ID]],'Data Mentah'!$A$1:$A$101,'Data Mentah'!$D$1:$D$101,"",0)</f>
        <v>45400</v>
      </c>
      <c r="H64" s="4">
        <f>_xlfn.XLOOKUP(Table1[[#This Row],[ID]],'Data Mentah'!$A$1:$A$101,'Data Mentah'!$E$1:$E$101,"",0)</f>
        <v>1</v>
      </c>
      <c r="I64" s="11">
        <f>Table1[[#This Row],[Harga Satuan]]*Table1[[#This Row],[Quantity]]</f>
        <v>12500000</v>
      </c>
      <c r="J64" s="4" t="str">
        <f>INDEX('Data Mentah'!$F$2:$F$101,MATCH(Table1[[#This Row],[ID]],'Data Mentah'!$A$2:$A$101,0))</f>
        <v>Tidak</v>
      </c>
      <c r="K64" s="4" t="str">
        <f>IF(AND(Table1[[#This Row],[Member]]="Ya",Table1[[#This Row],[Total Harga]]&gt;=1000000),"10%","0%")</f>
        <v>0%</v>
      </c>
      <c r="L64" s="12">
        <f>Table1[[#This Row],[Total Harga]]*Table1[[#This Row],[Status Diskon]]</f>
        <v>0</v>
      </c>
      <c r="M64" s="5">
        <f>Table1[[#This Row],[Total Harga]]-Table1[[#This Row],[Nominal Diskon]]</f>
        <v>12500000</v>
      </c>
    </row>
    <row r="65" spans="1:13" x14ac:dyDescent="0.6">
      <c r="A65" s="3" t="s">
        <v>78</v>
      </c>
      <c r="B65" s="4" t="str">
        <f>PROPER(_xlfn.XLOOKUP(Table1[[#This Row],[ID]],'Data Mentah'!$A$2:$A$101,'Data Mentah'!$B$2:$B$101,"",0))</f>
        <v>Lina Marlina</v>
      </c>
      <c r="C65" s="4" t="str">
        <f>_xlfn.XLOOKUP(Table1[[#This Row],[ID]],'Data Mentah'!$A$2:$A$101,'Data Mentah'!$C$2:$C$101,"",0)</f>
        <v>P-02</v>
      </c>
      <c r="D65" s="4" t="str">
        <f>VLOOKUP(Table1[[#This Row],[Kode Produk]],'Tabel Referensi'!$A$2:$B$6,2,FALSE)</f>
        <v>Mouse Wireless</v>
      </c>
      <c r="E65" s="11">
        <f>INDEX('Tabel Referensi'!$C$2:$C$6,MATCH(Table1[[#This Row],[Kode Produk]],'Tabel Referensi'!$A$2:$A$6,0))</f>
        <v>150000</v>
      </c>
      <c r="F65" s="4" t="str">
        <f>INDEX('Tabel Referensi'!$D$2:$D$6,MATCH(Table1[[#This Row],[Kode Produk]],'Tabel Referensi'!$A$2:$A$6,0))</f>
        <v>Aksesoris</v>
      </c>
      <c r="G65" s="10">
        <f>_xlfn.XLOOKUP(Table1[[#This Row],[ID]],'Data Mentah'!$A$1:$A$101,'Data Mentah'!$D$1:$D$101,"",0)</f>
        <v>45402</v>
      </c>
      <c r="H65" s="4">
        <f>_xlfn.XLOOKUP(Table1[[#This Row],[ID]],'Data Mentah'!$A$1:$A$101,'Data Mentah'!$E$1:$E$101,"",0)</f>
        <v>4</v>
      </c>
      <c r="I65" s="11">
        <f>Table1[[#This Row],[Harga Satuan]]*Table1[[#This Row],[Quantity]]</f>
        <v>600000</v>
      </c>
      <c r="J65" s="4" t="str">
        <f>INDEX('Data Mentah'!$F$2:$F$101,MATCH(Table1[[#This Row],[ID]],'Data Mentah'!$A$2:$A$101,0))</f>
        <v>Tidak</v>
      </c>
      <c r="K65" s="4" t="str">
        <f>IF(AND(Table1[[#This Row],[Member]]="Ya",Table1[[#This Row],[Total Harga]]&gt;=1000000),"10%","0%")</f>
        <v>0%</v>
      </c>
      <c r="L65" s="12">
        <f>Table1[[#This Row],[Total Harga]]*Table1[[#This Row],[Status Diskon]]</f>
        <v>0</v>
      </c>
      <c r="M65" s="5">
        <f>Table1[[#This Row],[Total Harga]]-Table1[[#This Row],[Nominal Diskon]]</f>
        <v>600000</v>
      </c>
    </row>
    <row r="66" spans="1:13" x14ac:dyDescent="0.6">
      <c r="A66" s="3" t="s">
        <v>103</v>
      </c>
      <c r="B66" s="4" t="str">
        <f>PROPER(_xlfn.XLOOKUP(Table1[[#This Row],[ID]],'Data Mentah'!$A$2:$A$101,'Data Mentah'!$B$2:$B$101,"",0))</f>
        <v>Lina Marlina</v>
      </c>
      <c r="C66" s="4" t="str">
        <f>_xlfn.XLOOKUP(Table1[[#This Row],[ID]],'Data Mentah'!$A$2:$A$101,'Data Mentah'!$C$2:$C$101,"",0)</f>
        <v>P-03</v>
      </c>
      <c r="D66" s="4" t="str">
        <f>VLOOKUP(Table1[[#This Row],[Kode Produk]],'Tabel Referensi'!$A$2:$B$6,2,FALSE)</f>
        <v>Keyboard Mechanical</v>
      </c>
      <c r="E66" s="11">
        <f>INDEX('Tabel Referensi'!$C$2:$C$6,MATCH(Table1[[#This Row],[Kode Produk]],'Tabel Referensi'!$A$2:$A$6,0))</f>
        <v>450000</v>
      </c>
      <c r="F66" s="4" t="str">
        <f>INDEX('Tabel Referensi'!$D$2:$D$6,MATCH(Table1[[#This Row],[Kode Produk]],'Tabel Referensi'!$A$2:$A$6,0))</f>
        <v>Aksesoris</v>
      </c>
      <c r="G66" s="10">
        <f>_xlfn.XLOOKUP(Table1[[#This Row],[ID]],'Data Mentah'!$A$1:$A$101,'Data Mentah'!$D$1:$D$101,"",0)</f>
        <v>45407</v>
      </c>
      <c r="H66" s="4">
        <f>_xlfn.XLOOKUP(Table1[[#This Row],[ID]],'Data Mentah'!$A$1:$A$101,'Data Mentah'!$E$1:$E$101,"",0)</f>
        <v>1</v>
      </c>
      <c r="I66" s="11">
        <f>Table1[[#This Row],[Harga Satuan]]*Table1[[#This Row],[Quantity]]</f>
        <v>450000</v>
      </c>
      <c r="J66" s="4" t="str">
        <f>INDEX('Data Mentah'!$F$2:$F$101,MATCH(Table1[[#This Row],[ID]],'Data Mentah'!$A$2:$A$101,0))</f>
        <v>Tidak</v>
      </c>
      <c r="K66" s="4" t="str">
        <f>IF(AND(Table1[[#This Row],[Member]]="Ya",Table1[[#This Row],[Total Harga]]&gt;=1000000),"10%","0%")</f>
        <v>0%</v>
      </c>
      <c r="L66" s="12">
        <f>Table1[[#This Row],[Total Harga]]*Table1[[#This Row],[Status Diskon]]</f>
        <v>0</v>
      </c>
      <c r="M66" s="5">
        <f>Table1[[#This Row],[Total Harga]]-Table1[[#This Row],[Nominal Diskon]]</f>
        <v>450000</v>
      </c>
    </row>
    <row r="67" spans="1:13" x14ac:dyDescent="0.6">
      <c r="A67" s="3" t="s">
        <v>128</v>
      </c>
      <c r="B67" s="4" t="str">
        <f>PROPER(_xlfn.XLOOKUP(Table1[[#This Row],[ID]],'Data Mentah'!$A$2:$A$101,'Data Mentah'!$B$2:$B$101,"",0))</f>
        <v>Lina Marlina</v>
      </c>
      <c r="C67" s="4" t="str">
        <f>_xlfn.XLOOKUP(Table1[[#This Row],[ID]],'Data Mentah'!$A$2:$A$101,'Data Mentah'!$C$2:$C$101,"",0)</f>
        <v>P-04</v>
      </c>
      <c r="D67" s="4" t="str">
        <f>VLOOKUP(Table1[[#This Row],[Kode Produk]],'Tabel Referensi'!$A$2:$B$6,2,FALSE)</f>
        <v>Monitor 27 Inch</v>
      </c>
      <c r="E67" s="11">
        <f>INDEX('Tabel Referensi'!$C$2:$C$6,MATCH(Table1[[#This Row],[Kode Produk]],'Tabel Referensi'!$A$2:$A$6,0))</f>
        <v>2100000</v>
      </c>
      <c r="F67" s="4" t="str">
        <f>INDEX('Tabel Referensi'!$D$2:$D$6,MATCH(Table1[[#This Row],[Kode Produk]],'Tabel Referensi'!$A$2:$A$6,0))</f>
        <v>Komputer</v>
      </c>
      <c r="G67" s="10">
        <f>_xlfn.XLOOKUP(Table1[[#This Row],[ID]],'Data Mentah'!$A$1:$A$101,'Data Mentah'!$D$1:$D$101,"",0)</f>
        <v>45410</v>
      </c>
      <c r="H67" s="4">
        <f>_xlfn.XLOOKUP(Table1[[#This Row],[ID]],'Data Mentah'!$A$1:$A$101,'Data Mentah'!$E$1:$E$101,"",0)</f>
        <v>1</v>
      </c>
      <c r="I67" s="11">
        <f>Table1[[#This Row],[Harga Satuan]]*Table1[[#This Row],[Quantity]]</f>
        <v>2100000</v>
      </c>
      <c r="J67" s="4" t="str">
        <f>INDEX('Data Mentah'!$F$2:$F$101,MATCH(Table1[[#This Row],[ID]],'Data Mentah'!$A$2:$A$101,0))</f>
        <v>Tidak</v>
      </c>
      <c r="K67" s="4" t="str">
        <f>IF(AND(Table1[[#This Row],[Member]]="Ya",Table1[[#This Row],[Total Harga]]&gt;=1000000),"10%","0%")</f>
        <v>0%</v>
      </c>
      <c r="L67" s="12">
        <f>Table1[[#This Row],[Total Harga]]*Table1[[#This Row],[Status Diskon]]</f>
        <v>0</v>
      </c>
      <c r="M67" s="5">
        <f>Table1[[#This Row],[Total Harga]]-Table1[[#This Row],[Nominal Diskon]]</f>
        <v>2100000</v>
      </c>
    </row>
    <row r="68" spans="1:13" x14ac:dyDescent="0.6">
      <c r="A68" s="3" t="s">
        <v>45</v>
      </c>
      <c r="B68" s="4" t="str">
        <f>PROPER(_xlfn.XLOOKUP(Table1[[#This Row],[ID]],'Data Mentah'!$A$2:$A$101,'Data Mentah'!$B$2:$B$101,"",0))</f>
        <v>Maman Abdurrahman</v>
      </c>
      <c r="C68" s="4" t="str">
        <f>_xlfn.XLOOKUP(Table1[[#This Row],[ID]],'Data Mentah'!$A$2:$A$101,'Data Mentah'!$C$2:$C$101,"",0)</f>
        <v>P-02</v>
      </c>
      <c r="D68" s="4" t="str">
        <f>VLOOKUP(Table1[[#This Row],[Kode Produk]],'Tabel Referensi'!$A$2:$B$6,2,FALSE)</f>
        <v>Mouse Wireless</v>
      </c>
      <c r="E68" s="11">
        <f>INDEX('Tabel Referensi'!$C$2:$C$6,MATCH(Table1[[#This Row],[Kode Produk]],'Tabel Referensi'!$A$2:$A$6,0))</f>
        <v>150000</v>
      </c>
      <c r="F68" s="4" t="str">
        <f>INDEX('Tabel Referensi'!$D$2:$D$6,MATCH(Table1[[#This Row],[Kode Produk]],'Tabel Referensi'!$A$2:$A$6,0))</f>
        <v>Aksesoris</v>
      </c>
      <c r="G68" s="10">
        <f>_xlfn.XLOOKUP(Table1[[#This Row],[ID]],'Data Mentah'!$A$1:$A$101,'Data Mentah'!$D$1:$D$101,"",0)</f>
        <v>45434</v>
      </c>
      <c r="H68" s="4">
        <f>_xlfn.XLOOKUP(Table1[[#This Row],[ID]],'Data Mentah'!$A$1:$A$101,'Data Mentah'!$E$1:$E$101,"",0)</f>
        <v>2</v>
      </c>
      <c r="I68" s="11">
        <f>Table1[[#This Row],[Harga Satuan]]*Table1[[#This Row],[Quantity]]</f>
        <v>300000</v>
      </c>
      <c r="J68" s="4" t="str">
        <f>INDEX('Data Mentah'!$F$2:$F$101,MATCH(Table1[[#This Row],[ID]],'Data Mentah'!$A$2:$A$101,0))</f>
        <v>Ya</v>
      </c>
      <c r="K68" s="4" t="str">
        <f>IF(AND(Table1[[#This Row],[Member]]="Ya",Table1[[#This Row],[Total Harga]]&gt;=1000000),"10%","0%")</f>
        <v>0%</v>
      </c>
      <c r="L68" s="12">
        <f>Table1[[#This Row],[Total Harga]]*Table1[[#This Row],[Status Diskon]]</f>
        <v>0</v>
      </c>
      <c r="M68" s="5">
        <f>Table1[[#This Row],[Total Harga]]-Table1[[#This Row],[Nominal Diskon]]</f>
        <v>300000</v>
      </c>
    </row>
    <row r="69" spans="1:13" x14ac:dyDescent="0.6">
      <c r="A69" s="3" t="s">
        <v>79</v>
      </c>
      <c r="B69" s="4" t="str">
        <f>PROPER(_xlfn.XLOOKUP(Table1[[#This Row],[ID]],'Data Mentah'!$A$2:$A$101,'Data Mentah'!$B$2:$B$101,"",0))</f>
        <v>Maman Abdurrahman</v>
      </c>
      <c r="C69" s="4" t="str">
        <f>_xlfn.XLOOKUP(Table1[[#This Row],[ID]],'Data Mentah'!$A$2:$A$101,'Data Mentah'!$C$2:$C$101,"",0)</f>
        <v>P-03</v>
      </c>
      <c r="D69" s="4" t="str">
        <f>VLOOKUP(Table1[[#This Row],[Kode Produk]],'Tabel Referensi'!$A$2:$B$6,2,FALSE)</f>
        <v>Keyboard Mechanical</v>
      </c>
      <c r="E69" s="11">
        <f>INDEX('Tabel Referensi'!$C$2:$C$6,MATCH(Table1[[#This Row],[Kode Produk]],'Tabel Referensi'!$A$2:$A$6,0))</f>
        <v>450000</v>
      </c>
      <c r="F69" s="4" t="str">
        <f>INDEX('Tabel Referensi'!$D$2:$D$6,MATCH(Table1[[#This Row],[Kode Produk]],'Tabel Referensi'!$A$2:$A$6,0))</f>
        <v>Aksesoris</v>
      </c>
      <c r="G69" s="10">
        <f>_xlfn.XLOOKUP(Table1[[#This Row],[ID]],'Data Mentah'!$A$1:$A$101,'Data Mentah'!$D$1:$D$101,"",0)</f>
        <v>45437</v>
      </c>
      <c r="H69" s="4">
        <f>_xlfn.XLOOKUP(Table1[[#This Row],[ID]],'Data Mentah'!$A$1:$A$101,'Data Mentah'!$E$1:$E$101,"",0)</f>
        <v>1</v>
      </c>
      <c r="I69" s="11">
        <f>Table1[[#This Row],[Harga Satuan]]*Table1[[#This Row],[Quantity]]</f>
        <v>450000</v>
      </c>
      <c r="J69" s="4" t="str">
        <f>INDEX('Data Mentah'!$F$2:$F$101,MATCH(Table1[[#This Row],[ID]],'Data Mentah'!$A$2:$A$101,0))</f>
        <v>Ya</v>
      </c>
      <c r="K69" s="4" t="str">
        <f>IF(AND(Table1[[#This Row],[Member]]="Ya",Table1[[#This Row],[Total Harga]]&gt;=1000000),"10%","0%")</f>
        <v>0%</v>
      </c>
      <c r="L69" s="12">
        <f>Table1[[#This Row],[Total Harga]]*Table1[[#This Row],[Status Diskon]]</f>
        <v>0</v>
      </c>
      <c r="M69" s="5">
        <f>Table1[[#This Row],[Total Harga]]-Table1[[#This Row],[Nominal Diskon]]</f>
        <v>450000</v>
      </c>
    </row>
    <row r="70" spans="1:13" x14ac:dyDescent="0.6">
      <c r="A70" s="3" t="s">
        <v>104</v>
      </c>
      <c r="B70" s="4" t="str">
        <f>PROPER(_xlfn.XLOOKUP(Table1[[#This Row],[ID]],'Data Mentah'!$A$2:$A$101,'Data Mentah'!$B$2:$B$101,"",0))</f>
        <v>Maman Abdurrahman</v>
      </c>
      <c r="C70" s="4" t="str">
        <f>_xlfn.XLOOKUP(Table1[[#This Row],[ID]],'Data Mentah'!$A$2:$A$101,'Data Mentah'!$C$2:$C$101,"",0)</f>
        <v>P-04</v>
      </c>
      <c r="D70" s="4" t="str">
        <f>VLOOKUP(Table1[[#This Row],[Kode Produk]],'Tabel Referensi'!$A$2:$B$6,2,FALSE)</f>
        <v>Monitor 27 Inch</v>
      </c>
      <c r="E70" s="11">
        <f>INDEX('Tabel Referensi'!$C$2:$C$6,MATCH(Table1[[#This Row],[Kode Produk]],'Tabel Referensi'!$A$2:$A$6,0))</f>
        <v>2100000</v>
      </c>
      <c r="F70" s="4" t="str">
        <f>INDEX('Tabel Referensi'!$D$2:$D$6,MATCH(Table1[[#This Row],[Kode Produk]],'Tabel Referensi'!$A$2:$A$6,0))</f>
        <v>Komputer</v>
      </c>
      <c r="G70" s="10">
        <f>_xlfn.XLOOKUP(Table1[[#This Row],[ID]],'Data Mentah'!$A$1:$A$101,'Data Mentah'!$D$1:$D$101,"",0)</f>
        <v>45440</v>
      </c>
      <c r="H70" s="4">
        <f>_xlfn.XLOOKUP(Table1[[#This Row],[ID]],'Data Mentah'!$A$1:$A$101,'Data Mentah'!$E$1:$E$101,"",0)</f>
        <v>2</v>
      </c>
      <c r="I70" s="11">
        <f>Table1[[#This Row],[Harga Satuan]]*Table1[[#This Row],[Quantity]]</f>
        <v>4200000</v>
      </c>
      <c r="J70" s="4" t="str">
        <f>INDEX('Data Mentah'!$F$2:$F$101,MATCH(Table1[[#This Row],[ID]],'Data Mentah'!$A$2:$A$101,0))</f>
        <v>Ya</v>
      </c>
      <c r="K70" s="4" t="str">
        <f>IF(AND(Table1[[#This Row],[Member]]="Ya",Table1[[#This Row],[Total Harga]]&gt;=1000000),"10%","0%")</f>
        <v>10%</v>
      </c>
      <c r="L70" s="12">
        <f>Table1[[#This Row],[Total Harga]]*Table1[[#This Row],[Status Diskon]]</f>
        <v>420000</v>
      </c>
      <c r="M70" s="5">
        <f>Table1[[#This Row],[Total Harga]]-Table1[[#This Row],[Nominal Diskon]]</f>
        <v>3780000</v>
      </c>
    </row>
    <row r="71" spans="1:13" x14ac:dyDescent="0.6">
      <c r="A71" s="3" t="s">
        <v>129</v>
      </c>
      <c r="B71" s="4" t="str">
        <f>PROPER(_xlfn.XLOOKUP(Table1[[#This Row],[ID]],'Data Mentah'!$A$2:$A$101,'Data Mentah'!$B$2:$B$101,"",0))</f>
        <v>Maman Abdurrahman</v>
      </c>
      <c r="C71" s="4" t="str">
        <f>_xlfn.XLOOKUP(Table1[[#This Row],[ID]],'Data Mentah'!$A$2:$A$101,'Data Mentah'!$C$2:$C$101,"",0)</f>
        <v>P-05</v>
      </c>
      <c r="D71" s="4" t="str">
        <f>VLOOKUP(Table1[[#This Row],[Kode Produk]],'Tabel Referensi'!$A$2:$B$6,2,FALSE)</f>
        <v>Flashdisk 64GB</v>
      </c>
      <c r="E71" s="11">
        <f>INDEX('Tabel Referensi'!$C$2:$C$6,MATCH(Table1[[#This Row],[Kode Produk]],'Tabel Referensi'!$A$2:$A$6,0))</f>
        <v>95000</v>
      </c>
      <c r="F71" s="4" t="str">
        <f>INDEX('Tabel Referensi'!$D$2:$D$6,MATCH(Table1[[#This Row],[Kode Produk]],'Tabel Referensi'!$A$2:$A$6,0))</f>
        <v>Aksesoris</v>
      </c>
      <c r="G71" s="10">
        <f>_xlfn.XLOOKUP(Table1[[#This Row],[ID]],'Data Mentah'!$A$1:$A$101,'Data Mentah'!$D$1:$D$101,"",0)</f>
        <v>45442</v>
      </c>
      <c r="H71" s="4">
        <f>_xlfn.XLOOKUP(Table1[[#This Row],[ID]],'Data Mentah'!$A$1:$A$101,'Data Mentah'!$E$1:$E$101,"",0)</f>
        <v>6</v>
      </c>
      <c r="I71" s="11">
        <f>Table1[[#This Row],[Harga Satuan]]*Table1[[#This Row],[Quantity]]</f>
        <v>570000</v>
      </c>
      <c r="J71" s="4" t="str">
        <f>INDEX('Data Mentah'!$F$2:$F$101,MATCH(Table1[[#This Row],[ID]],'Data Mentah'!$A$2:$A$101,0))</f>
        <v>Ya</v>
      </c>
      <c r="K71" s="4" t="str">
        <f>IF(AND(Table1[[#This Row],[Member]]="Ya",Table1[[#This Row],[Total Harga]]&gt;=1000000),"10%","0%")</f>
        <v>0%</v>
      </c>
      <c r="L71" s="12">
        <f>Table1[[#This Row],[Total Harga]]*Table1[[#This Row],[Status Diskon]]</f>
        <v>0</v>
      </c>
      <c r="M71" s="5">
        <f>Table1[[#This Row],[Total Harga]]-Table1[[#This Row],[Nominal Diskon]]</f>
        <v>570000</v>
      </c>
    </row>
    <row r="72" spans="1:13" x14ac:dyDescent="0.6">
      <c r="A72" s="3" t="s">
        <v>47</v>
      </c>
      <c r="B72" s="4" t="str">
        <f>PROPER(_xlfn.XLOOKUP(Table1[[#This Row],[ID]],'Data Mentah'!$A$2:$A$101,'Data Mentah'!$B$2:$B$101,"",0))</f>
        <v>Nanda Saputra</v>
      </c>
      <c r="C72" s="4" t="str">
        <f>_xlfn.XLOOKUP(Table1[[#This Row],[ID]],'Data Mentah'!$A$2:$A$101,'Data Mentah'!$C$2:$C$101,"",0)</f>
        <v>P-03</v>
      </c>
      <c r="D72" s="4" t="str">
        <f>VLOOKUP(Table1[[#This Row],[Kode Produk]],'Tabel Referensi'!$A$2:$B$6,2,FALSE)</f>
        <v>Keyboard Mechanical</v>
      </c>
      <c r="E72" s="11">
        <f>INDEX('Tabel Referensi'!$C$2:$C$6,MATCH(Table1[[#This Row],[Kode Produk]],'Tabel Referensi'!$A$2:$A$6,0))</f>
        <v>450000</v>
      </c>
      <c r="F72" s="4" t="str">
        <f>INDEX('Tabel Referensi'!$D$2:$D$6,MATCH(Table1[[#This Row],[Kode Produk]],'Tabel Referensi'!$A$2:$A$6,0))</f>
        <v>Aksesoris</v>
      </c>
      <c r="G72" s="10">
        <f>_xlfn.XLOOKUP(Table1[[#This Row],[ID]],'Data Mentah'!$A$1:$A$101,'Data Mentah'!$D$1:$D$101,"",0)</f>
        <v>45450</v>
      </c>
      <c r="H72" s="4">
        <f>_xlfn.XLOOKUP(Table1[[#This Row],[ID]],'Data Mentah'!$A$1:$A$101,'Data Mentah'!$E$1:$E$101,"",0)</f>
        <v>1</v>
      </c>
      <c r="I72" s="11">
        <f>Table1[[#This Row],[Harga Satuan]]*Table1[[#This Row],[Quantity]]</f>
        <v>450000</v>
      </c>
      <c r="J72" s="4" t="str">
        <f>INDEX('Data Mentah'!$F$2:$F$101,MATCH(Table1[[#This Row],[ID]],'Data Mentah'!$A$2:$A$101,0))</f>
        <v>Tidak</v>
      </c>
      <c r="K72" s="4" t="str">
        <f>IF(AND(Table1[[#This Row],[Member]]="Ya",Table1[[#This Row],[Total Harga]]&gt;=1000000),"10%","0%")</f>
        <v>0%</v>
      </c>
      <c r="L72" s="12">
        <f>Table1[[#This Row],[Total Harga]]*Table1[[#This Row],[Status Diskon]]</f>
        <v>0</v>
      </c>
      <c r="M72" s="5">
        <f>Table1[[#This Row],[Total Harga]]-Table1[[#This Row],[Nominal Diskon]]</f>
        <v>450000</v>
      </c>
    </row>
    <row r="73" spans="1:13" x14ac:dyDescent="0.6">
      <c r="A73" s="3" t="s">
        <v>80</v>
      </c>
      <c r="B73" s="4" t="str">
        <f>PROPER(_xlfn.XLOOKUP(Table1[[#This Row],[ID]],'Data Mentah'!$A$2:$A$101,'Data Mentah'!$B$2:$B$101,"",0))</f>
        <v>Nanda Saputra</v>
      </c>
      <c r="C73" s="4" t="str">
        <f>_xlfn.XLOOKUP(Table1[[#This Row],[ID]],'Data Mentah'!$A$2:$A$101,'Data Mentah'!$C$2:$C$101,"",0)</f>
        <v>P-04</v>
      </c>
      <c r="D73" s="4" t="str">
        <f>VLOOKUP(Table1[[#This Row],[Kode Produk]],'Tabel Referensi'!$A$2:$B$6,2,FALSE)</f>
        <v>Monitor 27 Inch</v>
      </c>
      <c r="E73" s="11">
        <f>INDEX('Tabel Referensi'!$C$2:$C$6,MATCH(Table1[[#This Row],[Kode Produk]],'Tabel Referensi'!$A$2:$A$6,0))</f>
        <v>2100000</v>
      </c>
      <c r="F73" s="4" t="str">
        <f>INDEX('Tabel Referensi'!$D$2:$D$6,MATCH(Table1[[#This Row],[Kode Produk]],'Tabel Referensi'!$A$2:$A$6,0))</f>
        <v>Komputer</v>
      </c>
      <c r="G73" s="10">
        <f>_xlfn.XLOOKUP(Table1[[#This Row],[ID]],'Data Mentah'!$A$1:$A$101,'Data Mentah'!$D$1:$D$101,"",0)</f>
        <v>45453</v>
      </c>
      <c r="H73" s="4">
        <f>_xlfn.XLOOKUP(Table1[[#This Row],[ID]],'Data Mentah'!$A$1:$A$101,'Data Mentah'!$E$1:$E$101,"",0)</f>
        <v>2</v>
      </c>
      <c r="I73" s="11">
        <f>Table1[[#This Row],[Harga Satuan]]*Table1[[#This Row],[Quantity]]</f>
        <v>4200000</v>
      </c>
      <c r="J73" s="4" t="str">
        <f>INDEX('Data Mentah'!$F$2:$F$101,MATCH(Table1[[#This Row],[ID]],'Data Mentah'!$A$2:$A$101,0))</f>
        <v>Tidak</v>
      </c>
      <c r="K73" s="4" t="str">
        <f>IF(AND(Table1[[#This Row],[Member]]="Ya",Table1[[#This Row],[Total Harga]]&gt;=1000000),"10%","0%")</f>
        <v>0%</v>
      </c>
      <c r="L73" s="12">
        <f>Table1[[#This Row],[Total Harga]]*Table1[[#This Row],[Status Diskon]]</f>
        <v>0</v>
      </c>
      <c r="M73" s="5">
        <f>Table1[[#This Row],[Total Harga]]-Table1[[#This Row],[Nominal Diskon]]</f>
        <v>4200000</v>
      </c>
    </row>
    <row r="74" spans="1:13" x14ac:dyDescent="0.6">
      <c r="A74" s="3" t="s">
        <v>105</v>
      </c>
      <c r="B74" s="4" t="str">
        <f>PROPER(_xlfn.XLOOKUP(Table1[[#This Row],[ID]],'Data Mentah'!$A$2:$A$101,'Data Mentah'!$B$2:$B$101,"",0))</f>
        <v>Nanda Saputra</v>
      </c>
      <c r="C74" s="4" t="str">
        <f>_xlfn.XLOOKUP(Table1[[#This Row],[ID]],'Data Mentah'!$A$2:$A$101,'Data Mentah'!$C$2:$C$101,"",0)</f>
        <v>P-05</v>
      </c>
      <c r="D74" s="4" t="str">
        <f>VLOOKUP(Table1[[#This Row],[Kode Produk]],'Tabel Referensi'!$A$2:$B$6,2,FALSE)</f>
        <v>Flashdisk 64GB</v>
      </c>
      <c r="E74" s="11">
        <f>INDEX('Tabel Referensi'!$C$2:$C$6,MATCH(Table1[[#This Row],[Kode Produk]],'Tabel Referensi'!$A$2:$A$6,0))</f>
        <v>95000</v>
      </c>
      <c r="F74" s="4" t="str">
        <f>INDEX('Tabel Referensi'!$D$2:$D$6,MATCH(Table1[[#This Row],[Kode Produk]],'Tabel Referensi'!$A$2:$A$6,0))</f>
        <v>Aksesoris</v>
      </c>
      <c r="G74" s="10">
        <f>_xlfn.XLOOKUP(Table1[[#This Row],[ID]],'Data Mentah'!$A$1:$A$101,'Data Mentah'!$D$1:$D$101,"",0)</f>
        <v>45458</v>
      </c>
      <c r="H74" s="4">
        <f>_xlfn.XLOOKUP(Table1[[#This Row],[ID]],'Data Mentah'!$A$1:$A$101,'Data Mentah'!$E$1:$E$101,"",0)</f>
        <v>4</v>
      </c>
      <c r="I74" s="11">
        <f>Table1[[#This Row],[Harga Satuan]]*Table1[[#This Row],[Quantity]]</f>
        <v>380000</v>
      </c>
      <c r="J74" s="4" t="str">
        <f>INDEX('Data Mentah'!$F$2:$F$101,MATCH(Table1[[#This Row],[ID]],'Data Mentah'!$A$2:$A$101,0))</f>
        <v>Tidak</v>
      </c>
      <c r="K74" s="4" t="str">
        <f>IF(AND(Table1[[#This Row],[Member]]="Ya",Table1[[#This Row],[Total Harga]]&gt;=1000000),"10%","0%")</f>
        <v>0%</v>
      </c>
      <c r="L74" s="12">
        <f>Table1[[#This Row],[Total Harga]]*Table1[[#This Row],[Status Diskon]]</f>
        <v>0</v>
      </c>
      <c r="M74" s="5">
        <f>Table1[[#This Row],[Total Harga]]-Table1[[#This Row],[Nominal Diskon]]</f>
        <v>380000</v>
      </c>
    </row>
    <row r="75" spans="1:13" x14ac:dyDescent="0.6">
      <c r="A75" s="3" t="s">
        <v>130</v>
      </c>
      <c r="B75" s="4" t="str">
        <f>PROPER(_xlfn.XLOOKUP(Table1[[#This Row],[ID]],'Data Mentah'!$A$2:$A$101,'Data Mentah'!$B$2:$B$101,"",0))</f>
        <v>Nanda Saputra</v>
      </c>
      <c r="C75" s="4" t="str">
        <f>_xlfn.XLOOKUP(Table1[[#This Row],[ID]],'Data Mentah'!$A$2:$A$101,'Data Mentah'!$C$2:$C$101,"",0)</f>
        <v>P-01</v>
      </c>
      <c r="D75" s="4" t="str">
        <f>VLOOKUP(Table1[[#This Row],[Kode Produk]],'Tabel Referensi'!$A$2:$B$6,2,FALSE)</f>
        <v>Laptop Pro 14</v>
      </c>
      <c r="E75" s="11">
        <f>INDEX('Tabel Referensi'!$C$2:$C$6,MATCH(Table1[[#This Row],[Kode Produk]],'Tabel Referensi'!$A$2:$A$6,0))</f>
        <v>12500000</v>
      </c>
      <c r="F75" s="4" t="str">
        <f>INDEX('Tabel Referensi'!$D$2:$D$6,MATCH(Table1[[#This Row],[Kode Produk]],'Tabel Referensi'!$A$2:$A$6,0))</f>
        <v>Komputer</v>
      </c>
      <c r="G75" s="10">
        <f>_xlfn.XLOOKUP(Table1[[#This Row],[ID]],'Data Mentah'!$A$1:$A$101,'Data Mentah'!$D$1:$D$101,"",0)</f>
        <v>45463</v>
      </c>
      <c r="H75" s="4">
        <f>_xlfn.XLOOKUP(Table1[[#This Row],[ID]],'Data Mentah'!$A$1:$A$101,'Data Mentah'!$E$1:$E$101,"",0)</f>
        <v>1</v>
      </c>
      <c r="I75" s="11">
        <f>Table1[[#This Row],[Harga Satuan]]*Table1[[#This Row],[Quantity]]</f>
        <v>12500000</v>
      </c>
      <c r="J75" s="4" t="str">
        <f>INDEX('Data Mentah'!$F$2:$F$101,MATCH(Table1[[#This Row],[ID]],'Data Mentah'!$A$2:$A$101,0))</f>
        <v>Tidak</v>
      </c>
      <c r="K75" s="4" t="str">
        <f>IF(AND(Table1[[#This Row],[Member]]="Ya",Table1[[#This Row],[Total Harga]]&gt;=1000000),"10%","0%")</f>
        <v>0%</v>
      </c>
      <c r="L75" s="12">
        <f>Table1[[#This Row],[Total Harga]]*Table1[[#This Row],[Status Diskon]]</f>
        <v>0</v>
      </c>
      <c r="M75" s="5">
        <f>Table1[[#This Row],[Total Harga]]-Table1[[#This Row],[Nominal Diskon]]</f>
        <v>12500000</v>
      </c>
    </row>
    <row r="76" spans="1:13" x14ac:dyDescent="0.6">
      <c r="A76" s="3" t="s">
        <v>49</v>
      </c>
      <c r="B76" s="4" t="str">
        <f>PROPER(_xlfn.XLOOKUP(Table1[[#This Row],[ID]],'Data Mentah'!$A$2:$A$101,'Data Mentah'!$B$2:$B$101,"",0))</f>
        <v>Oki Setiana</v>
      </c>
      <c r="C76" s="4" t="str">
        <f>_xlfn.XLOOKUP(Table1[[#This Row],[ID]],'Data Mentah'!$A$2:$A$101,'Data Mentah'!$C$2:$C$101,"",0)</f>
        <v>P-04</v>
      </c>
      <c r="D76" s="4" t="str">
        <f>VLOOKUP(Table1[[#This Row],[Kode Produk]],'Tabel Referensi'!$A$2:$B$6,2,FALSE)</f>
        <v>Monitor 27 Inch</v>
      </c>
      <c r="E76" s="11">
        <f>INDEX('Tabel Referensi'!$C$2:$C$6,MATCH(Table1[[#This Row],[Kode Produk]],'Tabel Referensi'!$A$2:$A$6,0))</f>
        <v>2100000</v>
      </c>
      <c r="F76" s="4" t="str">
        <f>INDEX('Tabel Referensi'!$D$2:$D$6,MATCH(Table1[[#This Row],[Kode Produk]],'Tabel Referensi'!$A$2:$A$6,0))</f>
        <v>Komputer</v>
      </c>
      <c r="G76" s="10">
        <f>_xlfn.XLOOKUP(Table1[[#This Row],[ID]],'Data Mentah'!$A$1:$A$101,'Data Mentah'!$D$1:$D$101,"",0)</f>
        <v>45492</v>
      </c>
      <c r="H76" s="4">
        <f>_xlfn.XLOOKUP(Table1[[#This Row],[ID]],'Data Mentah'!$A$1:$A$101,'Data Mentah'!$E$1:$E$101,"",0)</f>
        <v>4</v>
      </c>
      <c r="I76" s="11">
        <f>Table1[[#This Row],[Harga Satuan]]*Table1[[#This Row],[Quantity]]</f>
        <v>8400000</v>
      </c>
      <c r="J76" s="4" t="str">
        <f>INDEX('Data Mentah'!$F$2:$F$101,MATCH(Table1[[#This Row],[ID]],'Data Mentah'!$A$2:$A$101,0))</f>
        <v>Ya</v>
      </c>
      <c r="K76" s="4" t="str">
        <f>IF(AND(Table1[[#This Row],[Member]]="Ya",Table1[[#This Row],[Total Harga]]&gt;=1000000),"10%","0%")</f>
        <v>10%</v>
      </c>
      <c r="L76" s="12">
        <f>Table1[[#This Row],[Total Harga]]*Table1[[#This Row],[Status Diskon]]</f>
        <v>840000</v>
      </c>
      <c r="M76" s="5">
        <f>Table1[[#This Row],[Total Harga]]-Table1[[#This Row],[Nominal Diskon]]</f>
        <v>7560000</v>
      </c>
    </row>
    <row r="77" spans="1:13" x14ac:dyDescent="0.6">
      <c r="A77" s="3" t="s">
        <v>81</v>
      </c>
      <c r="B77" s="4" t="str">
        <f>PROPER(_xlfn.XLOOKUP(Table1[[#This Row],[ID]],'Data Mentah'!$A$2:$A$101,'Data Mentah'!$B$2:$B$101,"",0))</f>
        <v>Oki Setiana</v>
      </c>
      <c r="C77" s="4" t="str">
        <f>_xlfn.XLOOKUP(Table1[[#This Row],[ID]],'Data Mentah'!$A$2:$A$101,'Data Mentah'!$C$2:$C$101,"",0)</f>
        <v>P-05</v>
      </c>
      <c r="D77" s="4" t="str">
        <f>VLOOKUP(Table1[[#This Row],[Kode Produk]],'Tabel Referensi'!$A$2:$B$6,2,FALSE)</f>
        <v>Flashdisk 64GB</v>
      </c>
      <c r="E77" s="11">
        <f>INDEX('Tabel Referensi'!$C$2:$C$6,MATCH(Table1[[#This Row],[Kode Produk]],'Tabel Referensi'!$A$2:$A$6,0))</f>
        <v>95000</v>
      </c>
      <c r="F77" s="4" t="str">
        <f>INDEX('Tabel Referensi'!$D$2:$D$6,MATCH(Table1[[#This Row],[Kode Produk]],'Tabel Referensi'!$A$2:$A$6,0))</f>
        <v>Aksesoris</v>
      </c>
      <c r="G77" s="10">
        <f>_xlfn.XLOOKUP(Table1[[#This Row],[ID]],'Data Mentah'!$A$1:$A$101,'Data Mentah'!$D$1:$D$101,"",0)</f>
        <v>45495</v>
      </c>
      <c r="H77" s="4">
        <f>_xlfn.XLOOKUP(Table1[[#This Row],[ID]],'Data Mentah'!$A$1:$A$101,'Data Mentah'!$E$1:$E$101,"",0)</f>
        <v>3</v>
      </c>
      <c r="I77" s="11">
        <f>Table1[[#This Row],[Harga Satuan]]*Table1[[#This Row],[Quantity]]</f>
        <v>285000</v>
      </c>
      <c r="J77" s="4" t="str">
        <f>INDEX('Data Mentah'!$F$2:$F$101,MATCH(Table1[[#This Row],[ID]],'Data Mentah'!$A$2:$A$101,0))</f>
        <v>Ya</v>
      </c>
      <c r="K77" s="4" t="str">
        <f>IF(AND(Table1[[#This Row],[Member]]="Ya",Table1[[#This Row],[Total Harga]]&gt;=1000000),"10%","0%")</f>
        <v>0%</v>
      </c>
      <c r="L77" s="12">
        <f>Table1[[#This Row],[Total Harga]]*Table1[[#This Row],[Status Diskon]]</f>
        <v>0</v>
      </c>
      <c r="M77" s="5">
        <f>Table1[[#This Row],[Total Harga]]-Table1[[#This Row],[Nominal Diskon]]</f>
        <v>285000</v>
      </c>
    </row>
    <row r="78" spans="1:13" x14ac:dyDescent="0.6">
      <c r="A78" s="3" t="s">
        <v>106</v>
      </c>
      <c r="B78" s="4" t="str">
        <f>PROPER(_xlfn.XLOOKUP(Table1[[#This Row],[ID]],'Data Mentah'!$A$2:$A$101,'Data Mentah'!$B$2:$B$101,"",0))</f>
        <v>Oki Setiana</v>
      </c>
      <c r="C78" s="4" t="str">
        <f>_xlfn.XLOOKUP(Table1[[#This Row],[ID]],'Data Mentah'!$A$2:$A$101,'Data Mentah'!$C$2:$C$101,"",0)</f>
        <v>P-01</v>
      </c>
      <c r="D78" s="4" t="str">
        <f>VLOOKUP(Table1[[#This Row],[Kode Produk]],'Tabel Referensi'!$A$2:$B$6,2,FALSE)</f>
        <v>Laptop Pro 14</v>
      </c>
      <c r="E78" s="11">
        <f>INDEX('Tabel Referensi'!$C$2:$C$6,MATCH(Table1[[#This Row],[Kode Produk]],'Tabel Referensi'!$A$2:$A$6,0))</f>
        <v>12500000</v>
      </c>
      <c r="F78" s="4" t="str">
        <f>INDEX('Tabel Referensi'!$D$2:$D$6,MATCH(Table1[[#This Row],[Kode Produk]],'Tabel Referensi'!$A$2:$A$6,0))</f>
        <v>Komputer</v>
      </c>
      <c r="G78" s="10">
        <f>_xlfn.XLOOKUP(Table1[[#This Row],[ID]],'Data Mentah'!$A$1:$A$101,'Data Mentah'!$D$1:$D$101,"",0)</f>
        <v>45498</v>
      </c>
      <c r="H78" s="4">
        <f>_xlfn.XLOOKUP(Table1[[#This Row],[ID]],'Data Mentah'!$A$1:$A$101,'Data Mentah'!$E$1:$E$101,"",0)</f>
        <v>1</v>
      </c>
      <c r="I78" s="11">
        <f>Table1[[#This Row],[Harga Satuan]]*Table1[[#This Row],[Quantity]]</f>
        <v>12500000</v>
      </c>
      <c r="J78" s="4" t="str">
        <f>INDEX('Data Mentah'!$F$2:$F$101,MATCH(Table1[[#This Row],[ID]],'Data Mentah'!$A$2:$A$101,0))</f>
        <v>Ya</v>
      </c>
      <c r="K78" s="4" t="str">
        <f>IF(AND(Table1[[#This Row],[Member]]="Ya",Table1[[#This Row],[Total Harga]]&gt;=1000000),"10%","0%")</f>
        <v>10%</v>
      </c>
      <c r="L78" s="12">
        <f>Table1[[#This Row],[Total Harga]]*Table1[[#This Row],[Status Diskon]]</f>
        <v>1250000</v>
      </c>
      <c r="M78" s="5">
        <f>Table1[[#This Row],[Total Harga]]-Table1[[#This Row],[Nominal Diskon]]</f>
        <v>11250000</v>
      </c>
    </row>
    <row r="79" spans="1:13" x14ac:dyDescent="0.6">
      <c r="A79" s="3" t="s">
        <v>131</v>
      </c>
      <c r="B79" s="4" t="str">
        <f>PROPER(_xlfn.XLOOKUP(Table1[[#This Row],[ID]],'Data Mentah'!$A$2:$A$101,'Data Mentah'!$B$2:$B$101,"",0))</f>
        <v>Oki Setiana</v>
      </c>
      <c r="C79" s="4" t="str">
        <f>_xlfn.XLOOKUP(Table1[[#This Row],[ID]],'Data Mentah'!$A$2:$A$101,'Data Mentah'!$C$2:$C$101,"",0)</f>
        <v>P-02</v>
      </c>
      <c r="D79" s="4" t="str">
        <f>VLOOKUP(Table1[[#This Row],[Kode Produk]],'Tabel Referensi'!$A$2:$B$6,2,FALSE)</f>
        <v>Mouse Wireless</v>
      </c>
      <c r="E79" s="11">
        <f>INDEX('Tabel Referensi'!$C$2:$C$6,MATCH(Table1[[#This Row],[Kode Produk]],'Tabel Referensi'!$A$2:$A$6,0))</f>
        <v>150000</v>
      </c>
      <c r="F79" s="4" t="str">
        <f>INDEX('Tabel Referensi'!$D$2:$D$6,MATCH(Table1[[#This Row],[Kode Produk]],'Tabel Referensi'!$A$2:$A$6,0))</f>
        <v>Aksesoris</v>
      </c>
      <c r="G79" s="10">
        <f>_xlfn.XLOOKUP(Table1[[#This Row],[ID]],'Data Mentah'!$A$1:$A$101,'Data Mentah'!$D$1:$D$101,"",0)</f>
        <v>45501</v>
      </c>
      <c r="H79" s="4">
        <f>_xlfn.XLOOKUP(Table1[[#This Row],[ID]],'Data Mentah'!$A$1:$A$101,'Data Mentah'!$E$1:$E$101,"",0)</f>
        <v>3</v>
      </c>
      <c r="I79" s="11">
        <f>Table1[[#This Row],[Harga Satuan]]*Table1[[#This Row],[Quantity]]</f>
        <v>450000</v>
      </c>
      <c r="J79" s="4" t="str">
        <f>INDEX('Data Mentah'!$F$2:$F$101,MATCH(Table1[[#This Row],[ID]],'Data Mentah'!$A$2:$A$101,0))</f>
        <v>Ya</v>
      </c>
      <c r="K79" s="4" t="str">
        <f>IF(AND(Table1[[#This Row],[Member]]="Ya",Table1[[#This Row],[Total Harga]]&gt;=1000000),"10%","0%")</f>
        <v>0%</v>
      </c>
      <c r="L79" s="12">
        <f>Table1[[#This Row],[Total Harga]]*Table1[[#This Row],[Status Diskon]]</f>
        <v>0</v>
      </c>
      <c r="M79" s="5">
        <f>Table1[[#This Row],[Total Harga]]-Table1[[#This Row],[Nominal Diskon]]</f>
        <v>450000</v>
      </c>
    </row>
    <row r="80" spans="1:13" x14ac:dyDescent="0.6">
      <c r="A80" s="3" t="s">
        <v>51</v>
      </c>
      <c r="B80" s="4" t="str">
        <f>PROPER(_xlfn.XLOOKUP(Table1[[#This Row],[ID]],'Data Mentah'!$A$2:$A$101,'Data Mentah'!$B$2:$B$101,"",0))</f>
        <v>Putri Titian</v>
      </c>
      <c r="C80" s="4" t="str">
        <f>_xlfn.XLOOKUP(Table1[[#This Row],[ID]],'Data Mentah'!$A$2:$A$101,'Data Mentah'!$C$2:$C$101,"",0)</f>
        <v>P-05</v>
      </c>
      <c r="D80" s="4" t="str">
        <f>VLOOKUP(Table1[[#This Row],[Kode Produk]],'Tabel Referensi'!$A$2:$B$6,2,FALSE)</f>
        <v>Flashdisk 64GB</v>
      </c>
      <c r="E80" s="11">
        <f>INDEX('Tabel Referensi'!$C$2:$C$6,MATCH(Table1[[#This Row],[Kode Produk]],'Tabel Referensi'!$A$2:$A$6,0))</f>
        <v>95000</v>
      </c>
      <c r="F80" s="4" t="str">
        <f>INDEX('Tabel Referensi'!$D$2:$D$6,MATCH(Table1[[#This Row],[Kode Produk]],'Tabel Referensi'!$A$2:$A$6,0))</f>
        <v>Aksesoris</v>
      </c>
      <c r="G80" s="10">
        <f>_xlfn.XLOOKUP(Table1[[#This Row],[ID]],'Data Mentah'!$A$1:$A$101,'Data Mentah'!$D$1:$D$101,"",0)</f>
        <v>45534</v>
      </c>
      <c r="H80" s="4">
        <f>_xlfn.XLOOKUP(Table1[[#This Row],[ID]],'Data Mentah'!$A$1:$A$101,'Data Mentah'!$E$1:$E$101,"",0)</f>
        <v>2</v>
      </c>
      <c r="I80" s="11">
        <f>Table1[[#This Row],[Harga Satuan]]*Table1[[#This Row],[Quantity]]</f>
        <v>190000</v>
      </c>
      <c r="J80" s="4" t="str">
        <f>INDEX('Data Mentah'!$F$2:$F$101,MATCH(Table1[[#This Row],[ID]],'Data Mentah'!$A$2:$A$101,0))</f>
        <v>Tidak</v>
      </c>
      <c r="K80" s="4" t="str">
        <f>IF(AND(Table1[[#This Row],[Member]]="Ya",Table1[[#This Row],[Total Harga]]&gt;=1000000),"10%","0%")</f>
        <v>0%</v>
      </c>
      <c r="L80" s="12">
        <f>Table1[[#This Row],[Total Harga]]*Table1[[#This Row],[Status Diskon]]</f>
        <v>0</v>
      </c>
      <c r="M80" s="5">
        <f>Table1[[#This Row],[Total Harga]]-Table1[[#This Row],[Nominal Diskon]]</f>
        <v>190000</v>
      </c>
    </row>
    <row r="81" spans="1:13" x14ac:dyDescent="0.6">
      <c r="A81" s="3" t="s">
        <v>82</v>
      </c>
      <c r="B81" s="4" t="str">
        <f>PROPER(_xlfn.XLOOKUP(Table1[[#This Row],[ID]],'Data Mentah'!$A$2:$A$101,'Data Mentah'!$B$2:$B$101,"",0))</f>
        <v>Putri Titian</v>
      </c>
      <c r="C81" s="4" t="str">
        <f>_xlfn.XLOOKUP(Table1[[#This Row],[ID]],'Data Mentah'!$A$2:$A$101,'Data Mentah'!$C$2:$C$101,"",0)</f>
        <v>P-01</v>
      </c>
      <c r="D81" s="4" t="str">
        <f>VLOOKUP(Table1[[#This Row],[Kode Produk]],'Tabel Referensi'!$A$2:$B$6,2,FALSE)</f>
        <v>Laptop Pro 14</v>
      </c>
      <c r="E81" s="11">
        <f>INDEX('Tabel Referensi'!$C$2:$C$6,MATCH(Table1[[#This Row],[Kode Produk]],'Tabel Referensi'!$A$2:$A$6,0))</f>
        <v>12500000</v>
      </c>
      <c r="F81" s="4" t="str">
        <f>INDEX('Tabel Referensi'!$D$2:$D$6,MATCH(Table1[[#This Row],[Kode Produk]],'Tabel Referensi'!$A$2:$A$6,0))</f>
        <v>Komputer</v>
      </c>
      <c r="G81" s="10">
        <f>_xlfn.XLOOKUP(Table1[[#This Row],[ID]],'Data Mentah'!$A$1:$A$101,'Data Mentah'!$D$1:$D$101,"",0)</f>
        <v>45537</v>
      </c>
      <c r="H81" s="4">
        <f>_xlfn.XLOOKUP(Table1[[#This Row],[ID]],'Data Mentah'!$A$1:$A$101,'Data Mentah'!$E$1:$E$101,"",0)</f>
        <v>1</v>
      </c>
      <c r="I81" s="11">
        <f>Table1[[#This Row],[Harga Satuan]]*Table1[[#This Row],[Quantity]]</f>
        <v>12500000</v>
      </c>
      <c r="J81" s="4" t="str">
        <f>INDEX('Data Mentah'!$F$2:$F$101,MATCH(Table1[[#This Row],[ID]],'Data Mentah'!$A$2:$A$101,0))</f>
        <v>Tidak</v>
      </c>
      <c r="K81" s="4" t="str">
        <f>IF(AND(Table1[[#This Row],[Member]]="Ya",Table1[[#This Row],[Total Harga]]&gt;=1000000),"10%","0%")</f>
        <v>0%</v>
      </c>
      <c r="L81" s="12">
        <f>Table1[[#This Row],[Total Harga]]*Table1[[#This Row],[Status Diskon]]</f>
        <v>0</v>
      </c>
      <c r="M81" s="5">
        <f>Table1[[#This Row],[Total Harga]]-Table1[[#This Row],[Nominal Diskon]]</f>
        <v>12500000</v>
      </c>
    </row>
    <row r="82" spans="1:13" x14ac:dyDescent="0.6">
      <c r="A82" s="3" t="s">
        <v>107</v>
      </c>
      <c r="B82" s="4" t="str">
        <f>PROPER(_xlfn.XLOOKUP(Table1[[#This Row],[ID]],'Data Mentah'!$A$2:$A$101,'Data Mentah'!$B$2:$B$101,"",0))</f>
        <v>Putri Titian</v>
      </c>
      <c r="C82" s="4" t="str">
        <f>_xlfn.XLOOKUP(Table1[[#This Row],[ID]],'Data Mentah'!$A$2:$A$101,'Data Mentah'!$C$2:$C$101,"",0)</f>
        <v>P-02</v>
      </c>
      <c r="D82" s="4" t="str">
        <f>VLOOKUP(Table1[[#This Row],[Kode Produk]],'Tabel Referensi'!$A$2:$B$6,2,FALSE)</f>
        <v>Mouse Wireless</v>
      </c>
      <c r="E82" s="11">
        <f>INDEX('Tabel Referensi'!$C$2:$C$6,MATCH(Table1[[#This Row],[Kode Produk]],'Tabel Referensi'!$A$2:$A$6,0))</f>
        <v>150000</v>
      </c>
      <c r="F82" s="4" t="str">
        <f>INDEX('Tabel Referensi'!$D$2:$D$6,MATCH(Table1[[#This Row],[Kode Produk]],'Tabel Referensi'!$A$2:$A$6,0))</f>
        <v>Aksesoris</v>
      </c>
      <c r="G82" s="10">
        <f>_xlfn.XLOOKUP(Table1[[#This Row],[ID]],'Data Mentah'!$A$1:$A$101,'Data Mentah'!$D$1:$D$101,"",0)</f>
        <v>45540</v>
      </c>
      <c r="H82" s="4">
        <f>_xlfn.XLOOKUP(Table1[[#This Row],[ID]],'Data Mentah'!$A$1:$A$101,'Data Mentah'!$E$1:$E$101,"",0)</f>
        <v>3</v>
      </c>
      <c r="I82" s="11">
        <f>Table1[[#This Row],[Harga Satuan]]*Table1[[#This Row],[Quantity]]</f>
        <v>450000</v>
      </c>
      <c r="J82" s="4" t="str">
        <f>INDEX('Data Mentah'!$F$2:$F$101,MATCH(Table1[[#This Row],[ID]],'Data Mentah'!$A$2:$A$101,0))</f>
        <v>Tidak</v>
      </c>
      <c r="K82" s="4" t="str">
        <f>IF(AND(Table1[[#This Row],[Member]]="Ya",Table1[[#This Row],[Total Harga]]&gt;=1000000),"10%","0%")</f>
        <v>0%</v>
      </c>
      <c r="L82" s="12">
        <f>Table1[[#This Row],[Total Harga]]*Table1[[#This Row],[Status Diskon]]</f>
        <v>0</v>
      </c>
      <c r="M82" s="5">
        <f>Table1[[#This Row],[Total Harga]]-Table1[[#This Row],[Nominal Diskon]]</f>
        <v>450000</v>
      </c>
    </row>
    <row r="83" spans="1:13" x14ac:dyDescent="0.6">
      <c r="A83" s="3" t="s">
        <v>132</v>
      </c>
      <c r="B83" s="4" t="str">
        <f>PROPER(_xlfn.XLOOKUP(Table1[[#This Row],[ID]],'Data Mentah'!$A$2:$A$101,'Data Mentah'!$B$2:$B$101,"",0))</f>
        <v>Putri Titian</v>
      </c>
      <c r="C83" s="4" t="str">
        <f>_xlfn.XLOOKUP(Table1[[#This Row],[ID]],'Data Mentah'!$A$2:$A$101,'Data Mentah'!$C$2:$C$101,"",0)</f>
        <v>P-03</v>
      </c>
      <c r="D83" s="4" t="str">
        <f>VLOOKUP(Table1[[#This Row],[Kode Produk]],'Tabel Referensi'!$A$2:$B$6,2,FALSE)</f>
        <v>Keyboard Mechanical</v>
      </c>
      <c r="E83" s="11">
        <f>INDEX('Tabel Referensi'!$C$2:$C$6,MATCH(Table1[[#This Row],[Kode Produk]],'Tabel Referensi'!$A$2:$A$6,0))</f>
        <v>450000</v>
      </c>
      <c r="F83" s="4" t="str">
        <f>INDEX('Tabel Referensi'!$D$2:$D$6,MATCH(Table1[[#This Row],[Kode Produk]],'Tabel Referensi'!$A$2:$A$6,0))</f>
        <v>Aksesoris</v>
      </c>
      <c r="G83" s="10">
        <f>_xlfn.XLOOKUP(Table1[[#This Row],[ID]],'Data Mentah'!$A$1:$A$101,'Data Mentah'!$D$1:$D$101,"",0)</f>
        <v>45545</v>
      </c>
      <c r="H83" s="4">
        <f>_xlfn.XLOOKUP(Table1[[#This Row],[ID]],'Data Mentah'!$A$1:$A$101,'Data Mentah'!$E$1:$E$101,"",0)</f>
        <v>2</v>
      </c>
      <c r="I83" s="11">
        <f>Table1[[#This Row],[Harga Satuan]]*Table1[[#This Row],[Quantity]]</f>
        <v>900000</v>
      </c>
      <c r="J83" s="4" t="str">
        <f>INDEX('Data Mentah'!$F$2:$F$101,MATCH(Table1[[#This Row],[ID]],'Data Mentah'!$A$2:$A$101,0))</f>
        <v>Tidak</v>
      </c>
      <c r="K83" s="4" t="str">
        <f>IF(AND(Table1[[#This Row],[Member]]="Ya",Table1[[#This Row],[Total Harga]]&gt;=1000000),"10%","0%")</f>
        <v>0%</v>
      </c>
      <c r="L83" s="12">
        <f>Table1[[#This Row],[Total Harga]]*Table1[[#This Row],[Status Diskon]]</f>
        <v>0</v>
      </c>
      <c r="M83" s="5">
        <f>Table1[[#This Row],[Total Harga]]-Table1[[#This Row],[Nominal Diskon]]</f>
        <v>900000</v>
      </c>
    </row>
    <row r="84" spans="1:13" x14ac:dyDescent="0.6">
      <c r="A84" s="3" t="s">
        <v>53</v>
      </c>
      <c r="B84" s="4" t="str">
        <f>PROPER(_xlfn.XLOOKUP(Table1[[#This Row],[ID]],'Data Mentah'!$A$2:$A$101,'Data Mentah'!$B$2:$B$101,"",0))</f>
        <v>Qory Sandioriva</v>
      </c>
      <c r="C84" s="4" t="str">
        <f>_xlfn.XLOOKUP(Table1[[#This Row],[ID]],'Data Mentah'!$A$2:$A$101,'Data Mentah'!$C$2:$C$101,"",0)</f>
        <v>P-01</v>
      </c>
      <c r="D84" s="4" t="str">
        <f>VLOOKUP(Table1[[#This Row],[Kode Produk]],'Tabel Referensi'!$A$2:$B$6,2,FALSE)</f>
        <v>Laptop Pro 14</v>
      </c>
      <c r="E84" s="11">
        <f>INDEX('Tabel Referensi'!$C$2:$C$6,MATCH(Table1[[#This Row],[Kode Produk]],'Tabel Referensi'!$A$2:$A$6,0))</f>
        <v>12500000</v>
      </c>
      <c r="F84" s="4" t="str">
        <f>INDEX('Tabel Referensi'!$D$2:$D$6,MATCH(Table1[[#This Row],[Kode Produk]],'Tabel Referensi'!$A$2:$A$6,0))</f>
        <v>Komputer</v>
      </c>
      <c r="G84" s="10">
        <f>_xlfn.XLOOKUP(Table1[[#This Row],[ID]],'Data Mentah'!$A$1:$A$101,'Data Mentah'!$D$1:$D$101,"",0)</f>
        <v>45547</v>
      </c>
      <c r="H84" s="4">
        <f>_xlfn.XLOOKUP(Table1[[#This Row],[ID]],'Data Mentah'!$A$1:$A$101,'Data Mentah'!$E$1:$E$101,"",0)</f>
        <v>1</v>
      </c>
      <c r="I84" s="11">
        <f>Table1[[#This Row],[Harga Satuan]]*Table1[[#This Row],[Quantity]]</f>
        <v>12500000</v>
      </c>
      <c r="J84" s="4" t="str">
        <f>INDEX('Data Mentah'!$F$2:$F$101,MATCH(Table1[[#This Row],[ID]],'Data Mentah'!$A$2:$A$101,0))</f>
        <v>Ya</v>
      </c>
      <c r="K84" s="4" t="str">
        <f>IF(AND(Table1[[#This Row],[Member]]="Ya",Table1[[#This Row],[Total Harga]]&gt;=1000000),"10%","0%")</f>
        <v>10%</v>
      </c>
      <c r="L84" s="12">
        <f>Table1[[#This Row],[Total Harga]]*Table1[[#This Row],[Status Diskon]]</f>
        <v>1250000</v>
      </c>
      <c r="M84" s="5">
        <f>Table1[[#This Row],[Total Harga]]-Table1[[#This Row],[Nominal Diskon]]</f>
        <v>11250000</v>
      </c>
    </row>
    <row r="85" spans="1:13" x14ac:dyDescent="0.6">
      <c r="A85" s="3" t="s">
        <v>83</v>
      </c>
      <c r="B85" s="4" t="str">
        <f>PROPER(_xlfn.XLOOKUP(Table1[[#This Row],[ID]],'Data Mentah'!$A$2:$A$101,'Data Mentah'!$B$2:$B$101,"",0))</f>
        <v>Qory Sandioriva</v>
      </c>
      <c r="C85" s="4" t="str">
        <f>_xlfn.XLOOKUP(Table1[[#This Row],[ID]],'Data Mentah'!$A$2:$A$101,'Data Mentah'!$C$2:$C$101,"",0)</f>
        <v>P-02</v>
      </c>
      <c r="D85" s="4" t="str">
        <f>VLOOKUP(Table1[[#This Row],[Kode Produk]],'Tabel Referensi'!$A$2:$B$6,2,FALSE)</f>
        <v>Mouse Wireless</v>
      </c>
      <c r="E85" s="11">
        <f>INDEX('Tabel Referensi'!$C$2:$C$6,MATCH(Table1[[#This Row],[Kode Produk]],'Tabel Referensi'!$A$2:$A$6,0))</f>
        <v>150000</v>
      </c>
      <c r="F85" s="4" t="str">
        <f>INDEX('Tabel Referensi'!$D$2:$D$6,MATCH(Table1[[#This Row],[Kode Produk]],'Tabel Referensi'!$A$2:$A$6,0))</f>
        <v>Aksesoris</v>
      </c>
      <c r="G85" s="10">
        <f>_xlfn.XLOOKUP(Table1[[#This Row],[ID]],'Data Mentah'!$A$1:$A$101,'Data Mentah'!$D$1:$D$101,"",0)</f>
        <v>45550</v>
      </c>
      <c r="H85" s="4">
        <f>_xlfn.XLOOKUP(Table1[[#This Row],[ID]],'Data Mentah'!$A$1:$A$101,'Data Mentah'!$E$1:$E$101,"",0)</f>
        <v>5</v>
      </c>
      <c r="I85" s="11">
        <f>Table1[[#This Row],[Harga Satuan]]*Table1[[#This Row],[Quantity]]</f>
        <v>750000</v>
      </c>
      <c r="J85" s="4" t="str">
        <f>INDEX('Data Mentah'!$F$2:$F$101,MATCH(Table1[[#This Row],[ID]],'Data Mentah'!$A$2:$A$101,0))</f>
        <v>Ya</v>
      </c>
      <c r="K85" s="4" t="str">
        <f>IF(AND(Table1[[#This Row],[Member]]="Ya",Table1[[#This Row],[Total Harga]]&gt;=1000000),"10%","0%")</f>
        <v>0%</v>
      </c>
      <c r="L85" s="12">
        <f>Table1[[#This Row],[Total Harga]]*Table1[[#This Row],[Status Diskon]]</f>
        <v>0</v>
      </c>
      <c r="M85" s="5">
        <f>Table1[[#This Row],[Total Harga]]-Table1[[#This Row],[Nominal Diskon]]</f>
        <v>750000</v>
      </c>
    </row>
    <row r="86" spans="1:13" x14ac:dyDescent="0.6">
      <c r="A86" s="3" t="s">
        <v>108</v>
      </c>
      <c r="B86" s="4" t="str">
        <f>PROPER(_xlfn.XLOOKUP(Table1[[#This Row],[ID]],'Data Mentah'!$A$2:$A$101,'Data Mentah'!$B$2:$B$101,"",0))</f>
        <v>Qory Sandioriva</v>
      </c>
      <c r="C86" s="4" t="str">
        <f>_xlfn.XLOOKUP(Table1[[#This Row],[ID]],'Data Mentah'!$A$2:$A$101,'Data Mentah'!$C$2:$C$101,"",0)</f>
        <v>P-03</v>
      </c>
      <c r="D86" s="4" t="str">
        <f>VLOOKUP(Table1[[#This Row],[Kode Produk]],'Tabel Referensi'!$A$2:$B$6,2,FALSE)</f>
        <v>Keyboard Mechanical</v>
      </c>
      <c r="E86" s="11">
        <f>INDEX('Tabel Referensi'!$C$2:$C$6,MATCH(Table1[[#This Row],[Kode Produk]],'Tabel Referensi'!$A$2:$A$6,0))</f>
        <v>450000</v>
      </c>
      <c r="F86" s="4" t="str">
        <f>INDEX('Tabel Referensi'!$D$2:$D$6,MATCH(Table1[[#This Row],[Kode Produk]],'Tabel Referensi'!$A$2:$A$6,0))</f>
        <v>Aksesoris</v>
      </c>
      <c r="G86" s="10">
        <f>_xlfn.XLOOKUP(Table1[[#This Row],[ID]],'Data Mentah'!$A$1:$A$101,'Data Mentah'!$D$1:$D$101,"",0)</f>
        <v>45553</v>
      </c>
      <c r="H86" s="4">
        <f>_xlfn.XLOOKUP(Table1[[#This Row],[ID]],'Data Mentah'!$A$1:$A$101,'Data Mentah'!$E$1:$E$101,"",0)</f>
        <v>2</v>
      </c>
      <c r="I86" s="11">
        <f>Table1[[#This Row],[Harga Satuan]]*Table1[[#This Row],[Quantity]]</f>
        <v>900000</v>
      </c>
      <c r="J86" s="4" t="str">
        <f>INDEX('Data Mentah'!$F$2:$F$101,MATCH(Table1[[#This Row],[ID]],'Data Mentah'!$A$2:$A$101,0))</f>
        <v>Ya</v>
      </c>
      <c r="K86" s="4" t="str">
        <f>IF(AND(Table1[[#This Row],[Member]]="Ya",Table1[[#This Row],[Total Harga]]&gt;=1000000),"10%","0%")</f>
        <v>0%</v>
      </c>
      <c r="L86" s="12">
        <f>Table1[[#This Row],[Total Harga]]*Table1[[#This Row],[Status Diskon]]</f>
        <v>0</v>
      </c>
      <c r="M86" s="5">
        <f>Table1[[#This Row],[Total Harga]]-Table1[[#This Row],[Nominal Diskon]]</f>
        <v>900000</v>
      </c>
    </row>
    <row r="87" spans="1:13" x14ac:dyDescent="0.6">
      <c r="A87" s="3" t="s">
        <v>133</v>
      </c>
      <c r="B87" s="4" t="str">
        <f>PROPER(_xlfn.XLOOKUP(Table1[[#This Row],[ID]],'Data Mentah'!$A$2:$A$101,'Data Mentah'!$B$2:$B$101,"",0))</f>
        <v>Qory Sandioriva</v>
      </c>
      <c r="C87" s="4" t="str">
        <f>_xlfn.XLOOKUP(Table1[[#This Row],[ID]],'Data Mentah'!$A$2:$A$101,'Data Mentah'!$C$2:$C$101,"",0)</f>
        <v>P-04</v>
      </c>
      <c r="D87" s="4" t="str">
        <f>VLOOKUP(Table1[[#This Row],[Kode Produk]],'Tabel Referensi'!$A$2:$B$6,2,FALSE)</f>
        <v>Monitor 27 Inch</v>
      </c>
      <c r="E87" s="11">
        <f>INDEX('Tabel Referensi'!$C$2:$C$6,MATCH(Table1[[#This Row],[Kode Produk]],'Tabel Referensi'!$A$2:$A$6,0))</f>
        <v>2100000</v>
      </c>
      <c r="F87" s="4" t="str">
        <f>INDEX('Tabel Referensi'!$D$2:$D$6,MATCH(Table1[[#This Row],[Kode Produk]],'Tabel Referensi'!$A$2:$A$6,0))</f>
        <v>Komputer</v>
      </c>
      <c r="G87" s="10">
        <f>_xlfn.XLOOKUP(Table1[[#This Row],[ID]],'Data Mentah'!$A$1:$A$101,'Data Mentah'!$D$1:$D$101,"",0)</f>
        <v>45557</v>
      </c>
      <c r="H87" s="4">
        <f>_xlfn.XLOOKUP(Table1[[#This Row],[ID]],'Data Mentah'!$A$1:$A$101,'Data Mentah'!$E$1:$E$101,"",0)</f>
        <v>1</v>
      </c>
      <c r="I87" s="11">
        <f>Table1[[#This Row],[Harga Satuan]]*Table1[[#This Row],[Quantity]]</f>
        <v>2100000</v>
      </c>
      <c r="J87" s="4" t="str">
        <f>INDEX('Data Mentah'!$F$2:$F$101,MATCH(Table1[[#This Row],[ID]],'Data Mentah'!$A$2:$A$101,0))</f>
        <v>Ya</v>
      </c>
      <c r="K87" s="4" t="str">
        <f>IF(AND(Table1[[#This Row],[Member]]="Ya",Table1[[#This Row],[Total Harga]]&gt;=1000000),"10%","0%")</f>
        <v>10%</v>
      </c>
      <c r="L87" s="12">
        <f>Table1[[#This Row],[Total Harga]]*Table1[[#This Row],[Status Diskon]]</f>
        <v>210000</v>
      </c>
      <c r="M87" s="5">
        <f>Table1[[#This Row],[Total Harga]]-Table1[[#This Row],[Nominal Diskon]]</f>
        <v>1890000</v>
      </c>
    </row>
    <row r="88" spans="1:13" x14ac:dyDescent="0.6">
      <c r="A88" s="3" t="s">
        <v>55</v>
      </c>
      <c r="B88" s="4" t="str">
        <f>PROPER(_xlfn.XLOOKUP(Table1[[#This Row],[ID]],'Data Mentah'!$A$2:$A$101,'Data Mentah'!$B$2:$B$101,"",0))</f>
        <v>Reza Rahardian</v>
      </c>
      <c r="C88" s="4" t="str">
        <f>_xlfn.XLOOKUP(Table1[[#This Row],[ID]],'Data Mentah'!$A$2:$A$101,'Data Mentah'!$C$2:$C$101,"",0)</f>
        <v>P-02</v>
      </c>
      <c r="D88" s="4" t="str">
        <f>VLOOKUP(Table1[[#This Row],[Kode Produk]],'Tabel Referensi'!$A$2:$B$6,2,FALSE)</f>
        <v>Mouse Wireless</v>
      </c>
      <c r="E88" s="11">
        <f>INDEX('Tabel Referensi'!$C$2:$C$6,MATCH(Table1[[#This Row],[Kode Produk]],'Tabel Referensi'!$A$2:$A$6,0))</f>
        <v>150000</v>
      </c>
      <c r="F88" s="4" t="str">
        <f>INDEX('Tabel Referensi'!$D$2:$D$6,MATCH(Table1[[#This Row],[Kode Produk]],'Tabel Referensi'!$A$2:$A$6,0))</f>
        <v>Aksesoris</v>
      </c>
      <c r="G88" s="10">
        <f>_xlfn.XLOOKUP(Table1[[#This Row],[ID]],'Data Mentah'!$A$1:$A$101,'Data Mentah'!$D$1:$D$101,"",0)</f>
        <v>45590</v>
      </c>
      <c r="H88" s="4">
        <f>_xlfn.XLOOKUP(Table1[[#This Row],[ID]],'Data Mentah'!$A$1:$A$101,'Data Mentah'!$E$1:$E$101,"",0)</f>
        <v>5</v>
      </c>
      <c r="I88" s="11">
        <f>Table1[[#This Row],[Harga Satuan]]*Table1[[#This Row],[Quantity]]</f>
        <v>750000</v>
      </c>
      <c r="J88" s="4" t="str">
        <f>INDEX('Data Mentah'!$F$2:$F$101,MATCH(Table1[[#This Row],[ID]],'Data Mentah'!$A$2:$A$101,0))</f>
        <v>Tidak</v>
      </c>
      <c r="K88" s="4" t="str">
        <f>IF(AND(Table1[[#This Row],[Member]]="Ya",Table1[[#This Row],[Total Harga]]&gt;=1000000),"10%","0%")</f>
        <v>0%</v>
      </c>
      <c r="L88" s="12">
        <f>Table1[[#This Row],[Total Harga]]*Table1[[#This Row],[Status Diskon]]</f>
        <v>0</v>
      </c>
      <c r="M88" s="5">
        <f>Table1[[#This Row],[Total Harga]]-Table1[[#This Row],[Nominal Diskon]]</f>
        <v>750000</v>
      </c>
    </row>
    <row r="89" spans="1:13" x14ac:dyDescent="0.6">
      <c r="A89" s="3" t="s">
        <v>84</v>
      </c>
      <c r="B89" s="4" t="str">
        <f>PROPER(_xlfn.XLOOKUP(Table1[[#This Row],[ID]],'Data Mentah'!$A$2:$A$101,'Data Mentah'!$B$2:$B$101,"",0))</f>
        <v>Reza Rahardian</v>
      </c>
      <c r="C89" s="4" t="str">
        <f>_xlfn.XLOOKUP(Table1[[#This Row],[ID]],'Data Mentah'!$A$2:$A$101,'Data Mentah'!$C$2:$C$101,"",0)</f>
        <v>P-03</v>
      </c>
      <c r="D89" s="4" t="str">
        <f>VLOOKUP(Table1[[#This Row],[Kode Produk]],'Tabel Referensi'!$A$2:$B$6,2,FALSE)</f>
        <v>Keyboard Mechanical</v>
      </c>
      <c r="E89" s="11">
        <f>INDEX('Tabel Referensi'!$C$2:$C$6,MATCH(Table1[[#This Row],[Kode Produk]],'Tabel Referensi'!$A$2:$A$6,0))</f>
        <v>450000</v>
      </c>
      <c r="F89" s="4" t="str">
        <f>INDEX('Tabel Referensi'!$D$2:$D$6,MATCH(Table1[[#This Row],[Kode Produk]],'Tabel Referensi'!$A$2:$A$6,0))</f>
        <v>Aksesoris</v>
      </c>
      <c r="G89" s="10">
        <f>_xlfn.XLOOKUP(Table1[[#This Row],[ID]],'Data Mentah'!$A$1:$A$101,'Data Mentah'!$D$1:$D$101,"",0)</f>
        <v>45593</v>
      </c>
      <c r="H89" s="4">
        <f>_xlfn.XLOOKUP(Table1[[#This Row],[ID]],'Data Mentah'!$A$1:$A$101,'Data Mentah'!$E$1:$E$101,"",0)</f>
        <v>2</v>
      </c>
      <c r="I89" s="11">
        <f>Table1[[#This Row],[Harga Satuan]]*Table1[[#This Row],[Quantity]]</f>
        <v>900000</v>
      </c>
      <c r="J89" s="4" t="str">
        <f>INDEX('Data Mentah'!$F$2:$F$101,MATCH(Table1[[#This Row],[ID]],'Data Mentah'!$A$2:$A$101,0))</f>
        <v>Tidak</v>
      </c>
      <c r="K89" s="4" t="str">
        <f>IF(AND(Table1[[#This Row],[Member]]="Ya",Table1[[#This Row],[Total Harga]]&gt;=1000000),"10%","0%")</f>
        <v>0%</v>
      </c>
      <c r="L89" s="12">
        <f>Table1[[#This Row],[Total Harga]]*Table1[[#This Row],[Status Diskon]]</f>
        <v>0</v>
      </c>
      <c r="M89" s="5">
        <f>Table1[[#This Row],[Total Harga]]-Table1[[#This Row],[Nominal Diskon]]</f>
        <v>900000</v>
      </c>
    </row>
    <row r="90" spans="1:13" x14ac:dyDescent="0.6">
      <c r="A90" s="3" t="s">
        <v>109</v>
      </c>
      <c r="B90" s="4" t="str">
        <f>PROPER(_xlfn.XLOOKUP(Table1[[#This Row],[ID]],'Data Mentah'!$A$2:$A$101,'Data Mentah'!$B$2:$B$101,"",0))</f>
        <v>Reza Rahardian</v>
      </c>
      <c r="C90" s="4" t="str">
        <f>_xlfn.XLOOKUP(Table1[[#This Row],[ID]],'Data Mentah'!$A$2:$A$101,'Data Mentah'!$C$2:$C$101,"",0)</f>
        <v>P-04</v>
      </c>
      <c r="D90" s="4" t="str">
        <f>VLOOKUP(Table1[[#This Row],[Kode Produk]],'Tabel Referensi'!$A$2:$B$6,2,FALSE)</f>
        <v>Monitor 27 Inch</v>
      </c>
      <c r="E90" s="11">
        <f>INDEX('Tabel Referensi'!$C$2:$C$6,MATCH(Table1[[#This Row],[Kode Produk]],'Tabel Referensi'!$A$2:$A$6,0))</f>
        <v>2100000</v>
      </c>
      <c r="F90" s="4" t="str">
        <f>INDEX('Tabel Referensi'!$D$2:$D$6,MATCH(Table1[[#This Row],[Kode Produk]],'Tabel Referensi'!$A$2:$A$6,0))</f>
        <v>Komputer</v>
      </c>
      <c r="G90" s="10">
        <f>_xlfn.XLOOKUP(Table1[[#This Row],[ID]],'Data Mentah'!$A$1:$A$101,'Data Mentah'!$D$1:$D$101,"",0)</f>
        <v>45595</v>
      </c>
      <c r="H90" s="4">
        <f>_xlfn.XLOOKUP(Table1[[#This Row],[ID]],'Data Mentah'!$A$1:$A$101,'Data Mentah'!$E$1:$E$101,"",0)</f>
        <v>1</v>
      </c>
      <c r="I90" s="11">
        <f>Table1[[#This Row],[Harga Satuan]]*Table1[[#This Row],[Quantity]]</f>
        <v>2100000</v>
      </c>
      <c r="J90" s="4" t="str">
        <f>INDEX('Data Mentah'!$F$2:$F$101,MATCH(Table1[[#This Row],[ID]],'Data Mentah'!$A$2:$A$101,0))</f>
        <v>Tidak</v>
      </c>
      <c r="K90" s="4" t="str">
        <f>IF(AND(Table1[[#This Row],[Member]]="Ya",Table1[[#This Row],[Total Harga]]&gt;=1000000),"10%","0%")</f>
        <v>0%</v>
      </c>
      <c r="L90" s="12">
        <f>Table1[[#This Row],[Total Harga]]*Table1[[#This Row],[Status Diskon]]</f>
        <v>0</v>
      </c>
      <c r="M90" s="5">
        <f>Table1[[#This Row],[Total Harga]]-Table1[[#This Row],[Nominal Diskon]]</f>
        <v>2100000</v>
      </c>
    </row>
    <row r="91" spans="1:13" x14ac:dyDescent="0.6">
      <c r="A91" s="3" t="s">
        <v>57</v>
      </c>
      <c r="B91" s="4" t="str">
        <f>PROPER(_xlfn.XLOOKUP(Table1[[#This Row],[ID]],'Data Mentah'!$A$2:$A$101,'Data Mentah'!$B$2:$B$101,"",0))</f>
        <v>Sisca Soewitomo</v>
      </c>
      <c r="C91" s="4" t="str">
        <f>_xlfn.XLOOKUP(Table1[[#This Row],[ID]],'Data Mentah'!$A$2:$A$101,'Data Mentah'!$C$2:$C$101,"",0)</f>
        <v>P-03</v>
      </c>
      <c r="D91" s="4" t="str">
        <f>VLOOKUP(Table1[[#This Row],[Kode Produk]],'Tabel Referensi'!$A$2:$B$6,2,FALSE)</f>
        <v>Keyboard Mechanical</v>
      </c>
      <c r="E91" s="11">
        <f>INDEX('Tabel Referensi'!$C$2:$C$6,MATCH(Table1[[#This Row],[Kode Produk]],'Tabel Referensi'!$A$2:$A$6,0))</f>
        <v>450000</v>
      </c>
      <c r="F91" s="4" t="str">
        <f>INDEX('Tabel Referensi'!$D$2:$D$6,MATCH(Table1[[#This Row],[Kode Produk]],'Tabel Referensi'!$A$2:$A$6,0))</f>
        <v>Aksesoris</v>
      </c>
      <c r="G91" s="10">
        <f>_xlfn.XLOOKUP(Table1[[#This Row],[ID]],'Data Mentah'!$A$1:$A$101,'Data Mentah'!$D$1:$D$101,"",0)</f>
        <v>45598</v>
      </c>
      <c r="H91" s="4">
        <f>_xlfn.XLOOKUP(Table1[[#This Row],[ID]],'Data Mentah'!$A$1:$A$101,'Data Mentah'!$E$1:$E$101,"",0)</f>
        <v>3</v>
      </c>
      <c r="I91" s="11">
        <f>Table1[[#This Row],[Harga Satuan]]*Table1[[#This Row],[Quantity]]</f>
        <v>1350000</v>
      </c>
      <c r="J91" s="4" t="str">
        <f>INDEX('Data Mentah'!$F$2:$F$101,MATCH(Table1[[#This Row],[ID]],'Data Mentah'!$A$2:$A$101,0))</f>
        <v>Ya</v>
      </c>
      <c r="K91" s="4" t="str">
        <f>IF(AND(Table1[[#This Row],[Member]]="Ya",Table1[[#This Row],[Total Harga]]&gt;=1000000),"10%","0%")</f>
        <v>10%</v>
      </c>
      <c r="L91" s="12">
        <f>Table1[[#This Row],[Total Harga]]*Table1[[#This Row],[Status Diskon]]</f>
        <v>135000</v>
      </c>
      <c r="M91" s="5">
        <f>Table1[[#This Row],[Total Harga]]-Table1[[#This Row],[Nominal Diskon]]</f>
        <v>1215000</v>
      </c>
    </row>
    <row r="92" spans="1:13" x14ac:dyDescent="0.6">
      <c r="A92" s="3" t="s">
        <v>85</v>
      </c>
      <c r="B92" s="4" t="str">
        <f>PROPER(_xlfn.XLOOKUP(Table1[[#This Row],[ID]],'Data Mentah'!$A$2:$A$101,'Data Mentah'!$B$2:$B$101,"",0))</f>
        <v>Sisca Soewitomo</v>
      </c>
      <c r="C92" s="4" t="str">
        <f>_xlfn.XLOOKUP(Table1[[#This Row],[ID]],'Data Mentah'!$A$2:$A$101,'Data Mentah'!$C$2:$C$101,"",0)</f>
        <v>P-04</v>
      </c>
      <c r="D92" s="4" t="str">
        <f>VLOOKUP(Table1[[#This Row],[Kode Produk]],'Tabel Referensi'!$A$2:$B$6,2,FALSE)</f>
        <v>Monitor 27 Inch</v>
      </c>
      <c r="E92" s="11">
        <f>INDEX('Tabel Referensi'!$C$2:$C$6,MATCH(Table1[[#This Row],[Kode Produk]],'Tabel Referensi'!$A$2:$A$6,0))</f>
        <v>2100000</v>
      </c>
      <c r="F92" s="4" t="str">
        <f>INDEX('Tabel Referensi'!$D$2:$D$6,MATCH(Table1[[#This Row],[Kode Produk]],'Tabel Referensi'!$A$2:$A$6,0))</f>
        <v>Komputer</v>
      </c>
      <c r="G92" s="10">
        <f>_xlfn.XLOOKUP(Table1[[#This Row],[ID]],'Data Mentah'!$A$1:$A$101,'Data Mentah'!$D$1:$D$101,"",0)</f>
        <v>45601</v>
      </c>
      <c r="H92" s="4">
        <f>_xlfn.XLOOKUP(Table1[[#This Row],[ID]],'Data Mentah'!$A$1:$A$101,'Data Mentah'!$E$1:$E$101,"",0)</f>
        <v>1</v>
      </c>
      <c r="I92" s="11">
        <f>Table1[[#This Row],[Harga Satuan]]*Table1[[#This Row],[Quantity]]</f>
        <v>2100000</v>
      </c>
      <c r="J92" s="4" t="str">
        <f>INDEX('Data Mentah'!$F$2:$F$101,MATCH(Table1[[#This Row],[ID]],'Data Mentah'!$A$2:$A$101,0))</f>
        <v>Ya</v>
      </c>
      <c r="K92" s="4" t="str">
        <f>IF(AND(Table1[[#This Row],[Member]]="Ya",Table1[[#This Row],[Total Harga]]&gt;=1000000),"10%","0%")</f>
        <v>10%</v>
      </c>
      <c r="L92" s="12">
        <f>Table1[[#This Row],[Total Harga]]*Table1[[#This Row],[Status Diskon]]</f>
        <v>210000</v>
      </c>
      <c r="M92" s="5">
        <f>Table1[[#This Row],[Total Harga]]-Table1[[#This Row],[Nominal Diskon]]</f>
        <v>1890000</v>
      </c>
    </row>
    <row r="93" spans="1:13" x14ac:dyDescent="0.6">
      <c r="A93" s="3" t="s">
        <v>134</v>
      </c>
      <c r="B93" s="4" t="str">
        <f>PROPER(_xlfn.XLOOKUP(Table1[[#This Row],[ID]],'Data Mentah'!$A$2:$A$101,'Data Mentah'!$B$2:$B$101,"",0))</f>
        <v>Reza Rahardian</v>
      </c>
      <c r="C93" s="4" t="str">
        <f>_xlfn.XLOOKUP(Table1[[#This Row],[ID]],'Data Mentah'!$A$2:$A$101,'Data Mentah'!$C$2:$C$101,"",0)</f>
        <v>P-05</v>
      </c>
      <c r="D93" s="4" t="str">
        <f>VLOOKUP(Table1[[#This Row],[Kode Produk]],'Tabel Referensi'!$A$2:$B$6,2,FALSE)</f>
        <v>Flashdisk 64GB</v>
      </c>
      <c r="E93" s="11">
        <f>INDEX('Tabel Referensi'!$C$2:$C$6,MATCH(Table1[[#This Row],[Kode Produk]],'Tabel Referensi'!$A$2:$A$6,0))</f>
        <v>95000</v>
      </c>
      <c r="F93" s="4" t="str">
        <f>INDEX('Tabel Referensi'!$D$2:$D$6,MATCH(Table1[[#This Row],[Kode Produk]],'Tabel Referensi'!$A$2:$A$6,0))</f>
        <v>Aksesoris</v>
      </c>
      <c r="G93" s="10">
        <f>_xlfn.XLOOKUP(Table1[[#This Row],[ID]],'Data Mentah'!$A$1:$A$101,'Data Mentah'!$D$1:$D$101,"",0)</f>
        <v>45601</v>
      </c>
      <c r="H93" s="4">
        <f>_xlfn.XLOOKUP(Table1[[#This Row],[ID]],'Data Mentah'!$A$1:$A$101,'Data Mentah'!$E$1:$E$101,"",0)</f>
        <v>5</v>
      </c>
      <c r="I93" s="11">
        <f>Table1[[#This Row],[Harga Satuan]]*Table1[[#This Row],[Quantity]]</f>
        <v>475000</v>
      </c>
      <c r="J93" s="4" t="str">
        <f>INDEX('Data Mentah'!$F$2:$F$101,MATCH(Table1[[#This Row],[ID]],'Data Mentah'!$A$2:$A$101,0))</f>
        <v>Tidak</v>
      </c>
      <c r="K93" s="4" t="str">
        <f>IF(AND(Table1[[#This Row],[Member]]="Ya",Table1[[#This Row],[Total Harga]]&gt;=1000000),"10%","0%")</f>
        <v>0%</v>
      </c>
      <c r="L93" s="12">
        <f>Table1[[#This Row],[Total Harga]]*Table1[[#This Row],[Status Diskon]]</f>
        <v>0</v>
      </c>
      <c r="M93" s="5">
        <f>Table1[[#This Row],[Total Harga]]-Table1[[#This Row],[Nominal Diskon]]</f>
        <v>475000</v>
      </c>
    </row>
    <row r="94" spans="1:13" x14ac:dyDescent="0.6">
      <c r="A94" s="3" t="s">
        <v>110</v>
      </c>
      <c r="B94" s="4" t="str">
        <f>PROPER(_xlfn.XLOOKUP(Table1[[#This Row],[ID]],'Data Mentah'!$A$2:$A$101,'Data Mentah'!$B$2:$B$101,"",0))</f>
        <v>Sisca Soewitomo</v>
      </c>
      <c r="C94" s="4" t="str">
        <f>_xlfn.XLOOKUP(Table1[[#This Row],[ID]],'Data Mentah'!$A$2:$A$101,'Data Mentah'!$C$2:$C$101,"",0)</f>
        <v>P-05</v>
      </c>
      <c r="D94" s="4" t="str">
        <f>VLOOKUP(Table1[[#This Row],[Kode Produk]],'Tabel Referensi'!$A$2:$B$6,2,FALSE)</f>
        <v>Flashdisk 64GB</v>
      </c>
      <c r="E94" s="11">
        <f>INDEX('Tabel Referensi'!$C$2:$C$6,MATCH(Table1[[#This Row],[Kode Produk]],'Tabel Referensi'!$A$2:$A$6,0))</f>
        <v>95000</v>
      </c>
      <c r="F94" s="4" t="str">
        <f>INDEX('Tabel Referensi'!$D$2:$D$6,MATCH(Table1[[#This Row],[Kode Produk]],'Tabel Referensi'!$A$2:$A$6,0))</f>
        <v>Aksesoris</v>
      </c>
      <c r="G94" s="10">
        <f>_xlfn.XLOOKUP(Table1[[#This Row],[ID]],'Data Mentah'!$A$1:$A$101,'Data Mentah'!$D$1:$D$101,"",0)</f>
        <v>45604</v>
      </c>
      <c r="H94" s="4">
        <f>_xlfn.XLOOKUP(Table1[[#This Row],[ID]],'Data Mentah'!$A$1:$A$101,'Data Mentah'!$E$1:$E$101,"",0)</f>
        <v>5</v>
      </c>
      <c r="I94" s="11">
        <f>Table1[[#This Row],[Harga Satuan]]*Table1[[#This Row],[Quantity]]</f>
        <v>475000</v>
      </c>
      <c r="J94" s="4" t="str">
        <f>INDEX('Data Mentah'!$F$2:$F$101,MATCH(Table1[[#This Row],[ID]],'Data Mentah'!$A$2:$A$101,0))</f>
        <v>Ya</v>
      </c>
      <c r="K94" s="4" t="str">
        <f>IF(AND(Table1[[#This Row],[Member]]="Ya",Table1[[#This Row],[Total Harga]]&gt;=1000000),"10%","0%")</f>
        <v>0%</v>
      </c>
      <c r="L94" s="12">
        <f>Table1[[#This Row],[Total Harga]]*Table1[[#This Row],[Status Diskon]]</f>
        <v>0</v>
      </c>
      <c r="M94" s="5">
        <f>Table1[[#This Row],[Total Harga]]-Table1[[#This Row],[Nominal Diskon]]</f>
        <v>475000</v>
      </c>
    </row>
    <row r="95" spans="1:13" x14ac:dyDescent="0.6">
      <c r="A95" s="3" t="s">
        <v>135</v>
      </c>
      <c r="B95" s="4" t="str">
        <f>PROPER(_xlfn.XLOOKUP(Table1[[#This Row],[ID]],'Data Mentah'!$A$2:$A$101,'Data Mentah'!$B$2:$B$101,"",0))</f>
        <v>Sisca Soewitomo</v>
      </c>
      <c r="C95" s="4" t="str">
        <f>_xlfn.XLOOKUP(Table1[[#This Row],[ID]],'Data Mentah'!$A$2:$A$101,'Data Mentah'!$C$2:$C$101,"",0)</f>
        <v>P-01</v>
      </c>
      <c r="D95" s="4" t="str">
        <f>VLOOKUP(Table1[[#This Row],[Kode Produk]],'Tabel Referensi'!$A$2:$B$6,2,FALSE)</f>
        <v>Laptop Pro 14</v>
      </c>
      <c r="E95" s="11">
        <f>INDEX('Tabel Referensi'!$C$2:$C$6,MATCH(Table1[[#This Row],[Kode Produk]],'Tabel Referensi'!$A$2:$A$6,0))</f>
        <v>12500000</v>
      </c>
      <c r="F95" s="4" t="str">
        <f>INDEX('Tabel Referensi'!$D$2:$D$6,MATCH(Table1[[#This Row],[Kode Produk]],'Tabel Referensi'!$A$2:$A$6,0))</f>
        <v>Komputer</v>
      </c>
      <c r="G95" s="10">
        <f>_xlfn.XLOOKUP(Table1[[#This Row],[ID]],'Data Mentah'!$A$1:$A$101,'Data Mentah'!$D$1:$D$101,"",0)</f>
        <v>45608</v>
      </c>
      <c r="H95" s="4">
        <f>_xlfn.XLOOKUP(Table1[[#This Row],[ID]],'Data Mentah'!$A$1:$A$101,'Data Mentah'!$E$1:$E$101,"",0)</f>
        <v>1</v>
      </c>
      <c r="I95" s="11">
        <f>Table1[[#This Row],[Harga Satuan]]*Table1[[#This Row],[Quantity]]</f>
        <v>12500000</v>
      </c>
      <c r="J95" s="4" t="str">
        <f>INDEX('Data Mentah'!$F$2:$F$101,MATCH(Table1[[#This Row],[ID]],'Data Mentah'!$A$2:$A$101,0))</f>
        <v>Ya</v>
      </c>
      <c r="K95" s="4" t="str">
        <f>IF(AND(Table1[[#This Row],[Member]]="Ya",Table1[[#This Row],[Total Harga]]&gt;=1000000),"10%","0%")</f>
        <v>10%</v>
      </c>
      <c r="L95" s="12">
        <f>Table1[[#This Row],[Total Harga]]*Table1[[#This Row],[Status Diskon]]</f>
        <v>1250000</v>
      </c>
      <c r="M95" s="5">
        <f>Table1[[#This Row],[Total Harga]]-Table1[[#This Row],[Nominal Diskon]]</f>
        <v>11250000</v>
      </c>
    </row>
    <row r="96" spans="1:13" x14ac:dyDescent="0.6">
      <c r="A96" s="3" t="s">
        <v>59</v>
      </c>
      <c r="B96" s="4" t="str">
        <f>PROPER(_xlfn.XLOOKUP(Table1[[#This Row],[ID]],'Data Mentah'!$A$2:$A$101,'Data Mentah'!$B$2:$B$101,"",0))</f>
        <v>Tora Sudiro</v>
      </c>
      <c r="C96" s="4" t="str">
        <f>_xlfn.XLOOKUP(Table1[[#This Row],[ID]],'Data Mentah'!$A$2:$A$101,'Data Mentah'!$C$2:$C$101,"",0)</f>
        <v>P-04</v>
      </c>
      <c r="D96" s="4" t="str">
        <f>VLOOKUP(Table1[[#This Row],[Kode Produk]],'Tabel Referensi'!$A$2:$B$6,2,FALSE)</f>
        <v>Monitor 27 Inch</v>
      </c>
      <c r="E96" s="11">
        <f>INDEX('Tabel Referensi'!$C$2:$C$6,MATCH(Table1[[#This Row],[Kode Produk]],'Tabel Referensi'!$A$2:$A$6,0))</f>
        <v>2100000</v>
      </c>
      <c r="F96" s="4" t="str">
        <f>INDEX('Tabel Referensi'!$D$2:$D$6,MATCH(Table1[[#This Row],[Kode Produk]],'Tabel Referensi'!$A$2:$A$6,0))</f>
        <v>Komputer</v>
      </c>
      <c r="G96" s="10">
        <f>_xlfn.XLOOKUP(Table1[[#This Row],[ID]],'Data Mentah'!$A$1:$A$101,'Data Mentah'!$D$1:$D$101,"",0)</f>
        <v>45638</v>
      </c>
      <c r="H96" s="4">
        <f>_xlfn.XLOOKUP(Table1[[#This Row],[ID]],'Data Mentah'!$A$1:$A$101,'Data Mentah'!$E$1:$E$101,"",0)</f>
        <v>1</v>
      </c>
      <c r="I96" s="11">
        <f>Table1[[#This Row],[Harga Satuan]]*Table1[[#This Row],[Quantity]]</f>
        <v>2100000</v>
      </c>
      <c r="J96" s="4" t="str">
        <f>INDEX('Data Mentah'!$F$2:$F$101,MATCH(Table1[[#This Row],[ID]],'Data Mentah'!$A$2:$A$101,0))</f>
        <v>Tidak</v>
      </c>
      <c r="K96" s="4" t="str">
        <f>IF(AND(Table1[[#This Row],[Member]]="Ya",Table1[[#This Row],[Total Harga]]&gt;=1000000),"10%","0%")</f>
        <v>0%</v>
      </c>
      <c r="L96" s="12">
        <f>Table1[[#This Row],[Total Harga]]*Table1[[#This Row],[Status Diskon]]</f>
        <v>0</v>
      </c>
      <c r="M96" s="5">
        <f>Table1[[#This Row],[Total Harga]]-Table1[[#This Row],[Nominal Diskon]]</f>
        <v>2100000</v>
      </c>
    </row>
    <row r="97" spans="1:13" x14ac:dyDescent="0.6">
      <c r="A97" s="3" t="s">
        <v>86</v>
      </c>
      <c r="B97" s="4" t="str">
        <f>PROPER(_xlfn.XLOOKUP(Table1[[#This Row],[ID]],'Data Mentah'!$A$2:$A$101,'Data Mentah'!$B$2:$B$101,"",0))</f>
        <v>Tora Sudiro</v>
      </c>
      <c r="C97" s="4" t="str">
        <f>_xlfn.XLOOKUP(Table1[[#This Row],[ID]],'Data Mentah'!$A$2:$A$101,'Data Mentah'!$C$2:$C$101,"",0)</f>
        <v>P-05</v>
      </c>
      <c r="D97" s="4" t="str">
        <f>VLOOKUP(Table1[[#This Row],[Kode Produk]],'Tabel Referensi'!$A$2:$B$6,2,FALSE)</f>
        <v>Flashdisk 64GB</v>
      </c>
      <c r="E97" s="11">
        <f>INDEX('Tabel Referensi'!$C$2:$C$6,MATCH(Table1[[#This Row],[Kode Produk]],'Tabel Referensi'!$A$2:$A$6,0))</f>
        <v>95000</v>
      </c>
      <c r="F97" s="4" t="str">
        <f>INDEX('Tabel Referensi'!$D$2:$D$6,MATCH(Table1[[#This Row],[Kode Produk]],'Tabel Referensi'!$A$2:$A$6,0))</f>
        <v>Aksesoris</v>
      </c>
      <c r="G97" s="10">
        <f>_xlfn.XLOOKUP(Table1[[#This Row],[ID]],'Data Mentah'!$A$1:$A$101,'Data Mentah'!$D$1:$D$101,"",0)</f>
        <v>45641</v>
      </c>
      <c r="H97" s="4">
        <f>_xlfn.XLOOKUP(Table1[[#This Row],[ID]],'Data Mentah'!$A$1:$A$101,'Data Mentah'!$E$1:$E$101,"",0)</f>
        <v>4</v>
      </c>
      <c r="I97" s="11">
        <f>Table1[[#This Row],[Harga Satuan]]*Table1[[#This Row],[Quantity]]</f>
        <v>380000</v>
      </c>
      <c r="J97" s="4" t="str">
        <f>INDEX('Data Mentah'!$F$2:$F$101,MATCH(Table1[[#This Row],[ID]],'Data Mentah'!$A$2:$A$101,0))</f>
        <v>Tidak</v>
      </c>
      <c r="K97" s="4" t="str">
        <f>IF(AND(Table1[[#This Row],[Member]]="Ya",Table1[[#This Row],[Total Harga]]&gt;=1000000),"10%","0%")</f>
        <v>0%</v>
      </c>
      <c r="L97" s="12">
        <f>Table1[[#This Row],[Total Harga]]*Table1[[#This Row],[Status Diskon]]</f>
        <v>0</v>
      </c>
      <c r="M97" s="5">
        <f>Table1[[#This Row],[Total Harga]]-Table1[[#This Row],[Nominal Diskon]]</f>
        <v>380000</v>
      </c>
    </row>
    <row r="98" spans="1:13" x14ac:dyDescent="0.6">
      <c r="A98" s="3" t="s">
        <v>111</v>
      </c>
      <c r="B98" s="4" t="str">
        <f>PROPER(_xlfn.XLOOKUP(Table1[[#This Row],[ID]],'Data Mentah'!$A$2:$A$101,'Data Mentah'!$B$2:$B$101,"",0))</f>
        <v>Tora Sudiro</v>
      </c>
      <c r="C98" s="4" t="str">
        <f>_xlfn.XLOOKUP(Table1[[#This Row],[ID]],'Data Mentah'!$A$2:$A$101,'Data Mentah'!$C$2:$C$101,"",0)</f>
        <v>P-01</v>
      </c>
      <c r="D98" s="4" t="str">
        <f>VLOOKUP(Table1[[#This Row],[Kode Produk]],'Tabel Referensi'!$A$2:$B$6,2,FALSE)</f>
        <v>Laptop Pro 14</v>
      </c>
      <c r="E98" s="11">
        <f>INDEX('Tabel Referensi'!$C$2:$C$6,MATCH(Table1[[#This Row],[Kode Produk]],'Tabel Referensi'!$A$2:$A$6,0))</f>
        <v>12500000</v>
      </c>
      <c r="F98" s="4" t="str">
        <f>INDEX('Tabel Referensi'!$D$2:$D$6,MATCH(Table1[[#This Row],[Kode Produk]],'Tabel Referensi'!$A$2:$A$6,0))</f>
        <v>Komputer</v>
      </c>
      <c r="G98" s="10">
        <f>_xlfn.XLOOKUP(Table1[[#This Row],[ID]],'Data Mentah'!$A$1:$A$101,'Data Mentah'!$D$1:$D$101,"",0)</f>
        <v>45644</v>
      </c>
      <c r="H98" s="4">
        <f>_xlfn.XLOOKUP(Table1[[#This Row],[ID]],'Data Mentah'!$A$1:$A$101,'Data Mentah'!$E$1:$E$101,"",0)</f>
        <v>1</v>
      </c>
      <c r="I98" s="11">
        <f>Table1[[#This Row],[Harga Satuan]]*Table1[[#This Row],[Quantity]]</f>
        <v>12500000</v>
      </c>
      <c r="J98" s="4" t="str">
        <f>INDEX('Data Mentah'!$F$2:$F$101,MATCH(Table1[[#This Row],[ID]],'Data Mentah'!$A$2:$A$101,0))</f>
        <v>Tidak</v>
      </c>
      <c r="K98" s="4" t="str">
        <f>IF(AND(Table1[[#This Row],[Member]]="Ya",Table1[[#This Row],[Total Harga]]&gt;=1000000),"10%","0%")</f>
        <v>0%</v>
      </c>
      <c r="L98" s="12">
        <f>Table1[[#This Row],[Total Harga]]*Table1[[#This Row],[Status Diskon]]</f>
        <v>0</v>
      </c>
      <c r="M98" s="5">
        <f>Table1[[#This Row],[Total Harga]]-Table1[[#This Row],[Nominal Diskon]]</f>
        <v>12500000</v>
      </c>
    </row>
    <row r="99" spans="1:13" x14ac:dyDescent="0.6">
      <c r="A99" s="3" t="s">
        <v>136</v>
      </c>
      <c r="B99" s="4" t="str">
        <f>PROPER(_xlfn.XLOOKUP(Table1[[#This Row],[ID]],'Data Mentah'!$A$2:$A$101,'Data Mentah'!$B$2:$B$101,"",0))</f>
        <v>Tora Sudiro</v>
      </c>
      <c r="C99" s="4" t="str">
        <f>_xlfn.XLOOKUP(Table1[[#This Row],[ID]],'Data Mentah'!$A$2:$A$101,'Data Mentah'!$C$2:$C$101,"",0)</f>
        <v>P-02</v>
      </c>
      <c r="D99" s="4" t="str">
        <f>VLOOKUP(Table1[[#This Row],[Kode Produk]],'Tabel Referensi'!$A$2:$B$6,2,FALSE)</f>
        <v>Mouse Wireless</v>
      </c>
      <c r="E99" s="11">
        <f>INDEX('Tabel Referensi'!$C$2:$C$6,MATCH(Table1[[#This Row],[Kode Produk]],'Tabel Referensi'!$A$2:$A$6,0))</f>
        <v>150000</v>
      </c>
      <c r="F99" s="4" t="str">
        <f>INDEX('Tabel Referensi'!$D$2:$D$6,MATCH(Table1[[#This Row],[Kode Produk]],'Tabel Referensi'!$A$2:$A$6,0))</f>
        <v>Aksesoris</v>
      </c>
      <c r="G99" s="10">
        <f>_xlfn.XLOOKUP(Table1[[#This Row],[ID]],'Data Mentah'!$A$1:$A$101,'Data Mentah'!$D$1:$D$101,"",0)</f>
        <v>45648</v>
      </c>
      <c r="H99" s="4">
        <f>_xlfn.XLOOKUP(Table1[[#This Row],[ID]],'Data Mentah'!$A$1:$A$101,'Data Mentah'!$E$1:$E$101,"",0)</f>
        <v>4</v>
      </c>
      <c r="I99" s="11">
        <f>Table1[[#This Row],[Harga Satuan]]*Table1[[#This Row],[Quantity]]</f>
        <v>600000</v>
      </c>
      <c r="J99" s="4" t="str">
        <f>INDEX('Data Mentah'!$F$2:$F$101,MATCH(Table1[[#This Row],[ID]],'Data Mentah'!$A$2:$A$101,0))</f>
        <v>Tidak</v>
      </c>
      <c r="K99" s="4" t="str">
        <f>IF(AND(Table1[[#This Row],[Member]]="Ya",Table1[[#This Row],[Total Harga]]&gt;=1000000),"10%","0%")</f>
        <v>0%</v>
      </c>
      <c r="L99" s="12">
        <f>Table1[[#This Row],[Total Harga]]*Table1[[#This Row],[Status Diskon]]</f>
        <v>0</v>
      </c>
      <c r="M99" s="5">
        <f>Table1[[#This Row],[Total Harga]]-Table1[[#This Row],[Nominal Diskon]]</f>
        <v>600000</v>
      </c>
    </row>
    <row r="100" spans="1:13" x14ac:dyDescent="0.6">
      <c r="A100" s="3" t="s">
        <v>61</v>
      </c>
      <c r="B100" s="4" t="str">
        <f>PROPER(_xlfn.XLOOKUP(Table1[[#This Row],[ID]],'Data Mentah'!$A$2:$A$101,'Data Mentah'!$B$2:$B$101,"",0))</f>
        <v>Umay Shahab</v>
      </c>
      <c r="C100" s="4" t="str">
        <f>_xlfn.XLOOKUP(Table1[[#This Row],[ID]],'Data Mentah'!$A$2:$A$101,'Data Mentah'!$C$2:$C$101,"",0)</f>
        <v>P-05</v>
      </c>
      <c r="D100" s="4" t="str">
        <f>VLOOKUP(Table1[[#This Row],[Kode Produk]],'Tabel Referensi'!$A$2:$B$6,2,FALSE)</f>
        <v>Flashdisk 64GB</v>
      </c>
      <c r="E100" s="11">
        <f>INDEX('Tabel Referensi'!$C$2:$C$6,MATCH(Table1[[#This Row],[Kode Produk]],'Tabel Referensi'!$A$2:$A$6,0))</f>
        <v>95000</v>
      </c>
      <c r="F100" s="4" t="str">
        <f>INDEX('Tabel Referensi'!$D$2:$D$6,MATCH(Table1[[#This Row],[Kode Produk]],'Tabel Referensi'!$A$2:$A$6,0))</f>
        <v>Aksesoris</v>
      </c>
      <c r="G100" s="10">
        <f>_xlfn.XLOOKUP(Table1[[#This Row],[ID]],'Data Mentah'!$A$1:$A$101,'Data Mentah'!$D$1:$D$101,"",0)</f>
        <v>45662</v>
      </c>
      <c r="H100" s="4">
        <f>_xlfn.XLOOKUP(Table1[[#This Row],[ID]],'Data Mentah'!$A$1:$A$101,'Data Mentah'!$E$1:$E$101,"",0)</f>
        <v>10</v>
      </c>
      <c r="I100" s="11">
        <f>Table1[[#This Row],[Harga Satuan]]*Table1[[#This Row],[Quantity]]</f>
        <v>950000</v>
      </c>
      <c r="J100" s="4" t="str">
        <f>INDEX('Data Mentah'!$F$2:$F$101,MATCH(Table1[[#This Row],[ID]],'Data Mentah'!$A$2:$A$101,0))</f>
        <v>Ya</v>
      </c>
      <c r="K100" s="4" t="str">
        <f>IF(AND(Table1[[#This Row],[Member]]="Ya",Table1[[#This Row],[Total Harga]]&gt;=1000000),"10%","0%")</f>
        <v>0%</v>
      </c>
      <c r="L100" s="12">
        <f>Table1[[#This Row],[Total Harga]]*Table1[[#This Row],[Status Diskon]]</f>
        <v>0</v>
      </c>
      <c r="M100" s="5">
        <f>Table1[[#This Row],[Total Harga]]-Table1[[#This Row],[Nominal Diskon]]</f>
        <v>950000</v>
      </c>
    </row>
    <row r="101" spans="1:13" x14ac:dyDescent="0.6">
      <c r="A101" s="3" t="s">
        <v>87</v>
      </c>
      <c r="B101" s="4" t="str">
        <f>PROPER(_xlfn.XLOOKUP(Table1[[#This Row],[ID]],'Data Mentah'!$A$2:$A$101,'Data Mentah'!$B$2:$B$101,"",0))</f>
        <v>Umay Shahab</v>
      </c>
      <c r="C101" s="4" t="str">
        <f>_xlfn.XLOOKUP(Table1[[#This Row],[ID]],'Data Mentah'!$A$2:$A$101,'Data Mentah'!$C$2:$C$101,"",0)</f>
        <v>P-01</v>
      </c>
      <c r="D101" s="4" t="str">
        <f>VLOOKUP(Table1[[#This Row],[Kode Produk]],'Tabel Referensi'!$A$2:$B$6,2,FALSE)</f>
        <v>Laptop Pro 14</v>
      </c>
      <c r="E101" s="11">
        <f>INDEX('Tabel Referensi'!$C$2:$C$6,MATCH(Table1[[#This Row],[Kode Produk]],'Tabel Referensi'!$A$2:$A$6,0))</f>
        <v>12500000</v>
      </c>
      <c r="F101" s="4" t="str">
        <f>INDEX('Tabel Referensi'!$D$2:$D$6,MATCH(Table1[[#This Row],[Kode Produk]],'Tabel Referensi'!$A$2:$A$6,0))</f>
        <v>Komputer</v>
      </c>
      <c r="G101" s="10">
        <f>_xlfn.XLOOKUP(Table1[[#This Row],[ID]],'Data Mentah'!$A$1:$A$101,'Data Mentah'!$D$1:$D$101,"",0)</f>
        <v>45665</v>
      </c>
      <c r="H101" s="4">
        <f>_xlfn.XLOOKUP(Table1[[#This Row],[ID]],'Data Mentah'!$A$1:$A$101,'Data Mentah'!$E$1:$E$101,"",0)</f>
        <v>2</v>
      </c>
      <c r="I101" s="11">
        <f>Table1[[#This Row],[Harga Satuan]]*Table1[[#This Row],[Quantity]]</f>
        <v>25000000</v>
      </c>
      <c r="J101" s="4" t="str">
        <f>INDEX('Data Mentah'!$F$2:$F$101,MATCH(Table1[[#This Row],[ID]],'Data Mentah'!$A$2:$A$101,0))</f>
        <v>Ya</v>
      </c>
      <c r="K101" s="4" t="str">
        <f>IF(AND(Table1[[#This Row],[Member]]="Ya",Table1[[#This Row],[Total Harga]]&gt;=1000000),"10%","0%")</f>
        <v>10%</v>
      </c>
      <c r="L101" s="12">
        <f>Table1[[#This Row],[Total Harga]]*Table1[[#This Row],[Status Diskon]]</f>
        <v>2500000</v>
      </c>
      <c r="M101" s="5">
        <f>Table1[[#This Row],[Total Harga]]-Table1[[#This Row],[Nominal Diskon]]</f>
        <v>22500000</v>
      </c>
    </row>
    <row r="102" spans="1:13" x14ac:dyDescent="0.6">
      <c r="A102" s="3" t="s">
        <v>112</v>
      </c>
      <c r="B102" s="4" t="str">
        <f>PROPER(_xlfn.XLOOKUP(Table1[[#This Row],[ID]],'Data Mentah'!$A$2:$A$101,'Data Mentah'!$B$2:$B$101,"",0))</f>
        <v>Umay Shahab</v>
      </c>
      <c r="C102" s="4" t="str">
        <f>_xlfn.XLOOKUP(Table1[[#This Row],[ID]],'Data Mentah'!$A$2:$A$101,'Data Mentah'!$C$2:$C$101,"",0)</f>
        <v>P-02</v>
      </c>
      <c r="D102" s="4" t="str">
        <f>VLOOKUP(Table1[[#This Row],[Kode Produk]],'Tabel Referensi'!$A$2:$B$6,2,FALSE)</f>
        <v>Mouse Wireless</v>
      </c>
      <c r="E102" s="11">
        <f>INDEX('Tabel Referensi'!$C$2:$C$6,MATCH(Table1[[#This Row],[Kode Produk]],'Tabel Referensi'!$A$2:$A$6,0))</f>
        <v>150000</v>
      </c>
      <c r="F102" s="4" t="str">
        <f>INDEX('Tabel Referensi'!$D$2:$D$6,MATCH(Table1[[#This Row],[Kode Produk]],'Tabel Referensi'!$A$2:$A$6,0))</f>
        <v>Aksesoris</v>
      </c>
      <c r="G102" s="10">
        <f>_xlfn.XLOOKUP(Table1[[#This Row],[ID]],'Data Mentah'!$A$1:$A$101,'Data Mentah'!$D$1:$D$101,"",0)</f>
        <v>45669</v>
      </c>
      <c r="H102" s="4">
        <f>_xlfn.XLOOKUP(Table1[[#This Row],[ID]],'Data Mentah'!$A$1:$A$101,'Data Mentah'!$E$1:$E$101,"",0)</f>
        <v>4</v>
      </c>
      <c r="I102" s="11">
        <f>Table1[[#This Row],[Harga Satuan]]*Table1[[#This Row],[Quantity]]</f>
        <v>600000</v>
      </c>
      <c r="J102" s="4" t="str">
        <f>INDEX('Data Mentah'!$F$2:$F$101,MATCH(Table1[[#This Row],[ID]],'Data Mentah'!$A$2:$A$101,0))</f>
        <v>Ya</v>
      </c>
      <c r="K102" s="4" t="str">
        <f>IF(AND(Table1[[#This Row],[Member]]="Ya",Table1[[#This Row],[Total Harga]]&gt;=1000000),"10%","0%")</f>
        <v>0%</v>
      </c>
      <c r="L102" s="12">
        <f>Table1[[#This Row],[Total Harga]]*Table1[[#This Row],[Status Diskon]]</f>
        <v>0</v>
      </c>
      <c r="M102" s="5">
        <f>Table1[[#This Row],[Total Harga]]-Table1[[#This Row],[Nominal Diskon]]</f>
        <v>600000</v>
      </c>
    </row>
    <row r="103" spans="1:13" x14ac:dyDescent="0.6">
      <c r="A103" s="3" t="s">
        <v>137</v>
      </c>
      <c r="B103" s="4" t="str">
        <f>PROPER(_xlfn.XLOOKUP(Table1[[#This Row],[ID]],'Data Mentah'!$A$2:$A$101,'Data Mentah'!$B$2:$B$101,"",0))</f>
        <v>Umay Shahab</v>
      </c>
      <c r="C103" s="4" t="str">
        <f>_xlfn.XLOOKUP(Table1[[#This Row],[ID]],'Data Mentah'!$A$2:$A$101,'Data Mentah'!$C$2:$C$101,"",0)</f>
        <v>P-03</v>
      </c>
      <c r="D103" s="4" t="str">
        <f>VLOOKUP(Table1[[#This Row],[Kode Produk]],'Tabel Referensi'!$A$2:$B$6,2,FALSE)</f>
        <v>Keyboard Mechanical</v>
      </c>
      <c r="E103" s="11">
        <f>INDEX('Tabel Referensi'!$C$2:$C$6,MATCH(Table1[[#This Row],[Kode Produk]],'Tabel Referensi'!$A$2:$A$6,0))</f>
        <v>450000</v>
      </c>
      <c r="F103" s="4" t="str">
        <f>INDEX('Tabel Referensi'!$D$2:$D$6,MATCH(Table1[[#This Row],[Kode Produk]],'Tabel Referensi'!$A$2:$A$6,0))</f>
        <v>Aksesoris</v>
      </c>
      <c r="G103" s="10">
        <f>_xlfn.XLOOKUP(Table1[[#This Row],[ID]],'Data Mentah'!$A$1:$A$101,'Data Mentah'!$D$1:$D$101,"",0)</f>
        <v>45672</v>
      </c>
      <c r="H103" s="4">
        <f>_xlfn.XLOOKUP(Table1[[#This Row],[ID]],'Data Mentah'!$A$1:$A$101,'Data Mentah'!$E$1:$E$101,"",0)</f>
        <v>2</v>
      </c>
      <c r="I103" s="11">
        <f>Table1[[#This Row],[Harga Satuan]]*Table1[[#This Row],[Quantity]]</f>
        <v>900000</v>
      </c>
      <c r="J103" s="4" t="str">
        <f>INDEX('Data Mentah'!$F$2:$F$101,MATCH(Table1[[#This Row],[ID]],'Data Mentah'!$A$2:$A$101,0))</f>
        <v>Ya</v>
      </c>
      <c r="K103" s="4" t="str">
        <f>IF(AND(Table1[[#This Row],[Member]]="Ya",Table1[[#This Row],[Total Harga]]&gt;=1000000),"10%","0%")</f>
        <v>0%</v>
      </c>
      <c r="L103" s="12">
        <f>Table1[[#This Row],[Total Harga]]*Table1[[#This Row],[Status Diskon]]</f>
        <v>0</v>
      </c>
      <c r="M103" s="5">
        <f>Table1[[#This Row],[Total Harga]]-Table1[[#This Row],[Nominal Diskon]]</f>
        <v>900000</v>
      </c>
    </row>
  </sheetData>
  <mergeCells count="1">
    <mergeCell ref="A1:M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49499-20D7-442D-A2F5-0AB6C7699F94}">
  <dimension ref="A4:C7"/>
  <sheetViews>
    <sheetView workbookViewId="0">
      <selection activeCell="C9" sqref="C9"/>
    </sheetView>
  </sheetViews>
  <sheetFormatPr defaultRowHeight="15" x14ac:dyDescent="0.25"/>
  <cols>
    <col min="1" max="1" width="23.7109375" bestFit="1" customWidth="1"/>
    <col min="2" max="2" width="25.42578125" bestFit="1" customWidth="1"/>
    <col min="3" max="3" width="17" bestFit="1" customWidth="1"/>
    <col min="4" max="4" width="20.28515625" bestFit="1" customWidth="1"/>
    <col min="5" max="5" width="12.85546875" bestFit="1" customWidth="1"/>
    <col min="6" max="6" width="15" bestFit="1" customWidth="1"/>
    <col min="7" max="7" width="15.5703125" bestFit="1" customWidth="1"/>
    <col min="8" max="14" width="12.42578125" bestFit="1" customWidth="1"/>
    <col min="15" max="15" width="11.5703125" bestFit="1" customWidth="1"/>
    <col min="16" max="16" width="12.42578125" bestFit="1" customWidth="1"/>
    <col min="17" max="17" width="11.5703125" bestFit="1" customWidth="1"/>
    <col min="18" max="18" width="12.28515625" bestFit="1" customWidth="1"/>
    <col min="19" max="19" width="12.42578125" bestFit="1" customWidth="1"/>
    <col min="20" max="21" width="12.28515625" bestFit="1" customWidth="1"/>
    <col min="22" max="26" width="11.42578125" bestFit="1" customWidth="1"/>
    <col min="27" max="27" width="10.85546875" bestFit="1" customWidth="1"/>
    <col min="28" max="28" width="11.42578125" bestFit="1" customWidth="1"/>
    <col min="29" max="29" width="10.85546875" bestFit="1" customWidth="1"/>
    <col min="30" max="32" width="11.85546875" bestFit="1" customWidth="1"/>
    <col min="33" max="33" width="12.42578125" bestFit="1" customWidth="1"/>
    <col min="34" max="35" width="11.7109375" bestFit="1" customWidth="1"/>
    <col min="36" max="36" width="12.42578125" bestFit="1" customWidth="1"/>
    <col min="37" max="37" width="11.7109375" bestFit="1" customWidth="1"/>
    <col min="38" max="38" width="11.42578125" bestFit="1" customWidth="1"/>
    <col min="39" max="39" width="12.42578125" bestFit="1" customWidth="1"/>
    <col min="40" max="41" width="11.42578125" bestFit="1" customWidth="1"/>
    <col min="42" max="42" width="12.42578125" bestFit="1" customWidth="1"/>
    <col min="43" max="45" width="12" bestFit="1" customWidth="1"/>
    <col min="46" max="48" width="11.7109375" bestFit="1" customWidth="1"/>
    <col min="49" max="50" width="11.28515625" bestFit="1" customWidth="1"/>
    <col min="51" max="51" width="11.42578125" bestFit="1" customWidth="1"/>
    <col min="52" max="52" width="11.28515625" bestFit="1" customWidth="1"/>
    <col min="53" max="53" width="12.42578125" bestFit="1" customWidth="1"/>
    <col min="54" max="55" width="11.7109375" bestFit="1" customWidth="1"/>
    <col min="56" max="56" width="12.42578125" bestFit="1" customWidth="1"/>
    <col min="57" max="57" width="11.7109375" bestFit="1" customWidth="1"/>
    <col min="58" max="58" width="12" bestFit="1" customWidth="1"/>
    <col min="59" max="59" width="12.42578125" bestFit="1" customWidth="1"/>
    <col min="60" max="61" width="12" bestFit="1" customWidth="1"/>
    <col min="62" max="62" width="12.42578125" bestFit="1" customWidth="1"/>
    <col min="63" max="65" width="11.5703125" bestFit="1" customWidth="1"/>
    <col min="66" max="69" width="12.28515625" bestFit="1" customWidth="1"/>
    <col min="70" max="72" width="11.42578125" bestFit="1" customWidth="1"/>
    <col min="73" max="73" width="12.42578125" bestFit="1" customWidth="1"/>
    <col min="74" max="74" width="11.42578125" bestFit="1" customWidth="1"/>
    <col min="75" max="75" width="10.85546875" bestFit="1" customWidth="1"/>
    <col min="76" max="76" width="12.42578125" bestFit="1" customWidth="1"/>
    <col min="77" max="77" width="10.85546875" bestFit="1" customWidth="1"/>
    <col min="78" max="78" width="11.85546875" bestFit="1" customWidth="1"/>
    <col min="79" max="79" width="12.42578125" bestFit="1" customWidth="1"/>
    <col min="80" max="81" width="11.7109375" bestFit="1" customWidth="1"/>
    <col min="82" max="82" width="12.42578125" bestFit="1" customWidth="1"/>
    <col min="83" max="85" width="11.7109375" bestFit="1" customWidth="1"/>
    <col min="86" max="88" width="11.42578125" bestFit="1" customWidth="1"/>
    <col min="89" max="91" width="12" bestFit="1" customWidth="1"/>
    <col min="92" max="92" width="12.42578125" bestFit="1" customWidth="1"/>
    <col min="93" max="94" width="11.7109375" bestFit="1" customWidth="1"/>
    <col min="95" max="95" width="12.42578125" bestFit="1" customWidth="1"/>
    <col min="96" max="96" width="11.7109375" bestFit="1" customWidth="1"/>
    <col min="97" max="97" width="11.28515625" bestFit="1" customWidth="1"/>
    <col min="98" max="98" width="12.42578125" bestFit="1" customWidth="1"/>
    <col min="99" max="100" width="11.28515625" bestFit="1" customWidth="1"/>
  </cols>
  <sheetData>
    <row r="4" spans="1:3" ht="19.5" x14ac:dyDescent="0.55000000000000004">
      <c r="A4" s="14" t="s">
        <v>154</v>
      </c>
      <c r="B4" s="4"/>
      <c r="C4" s="14" t="s">
        <v>138</v>
      </c>
    </row>
    <row r="5" spans="1:3" ht="19.5" x14ac:dyDescent="0.55000000000000004">
      <c r="A5" s="14" t="s">
        <v>170</v>
      </c>
      <c r="B5" s="14" t="s">
        <v>171</v>
      </c>
      <c r="C5" s="4" t="s">
        <v>147</v>
      </c>
    </row>
    <row r="6" spans="1:3" ht="19.5" x14ac:dyDescent="0.55000000000000004">
      <c r="A6" s="4" t="s">
        <v>167</v>
      </c>
      <c r="B6" s="4" t="s">
        <v>157</v>
      </c>
      <c r="C6" s="5">
        <v>570000</v>
      </c>
    </row>
    <row r="7" spans="1:3" ht="19.5" x14ac:dyDescent="0.55000000000000004">
      <c r="A7" s="4"/>
      <c r="B7" s="4" t="s">
        <v>158</v>
      </c>
      <c r="C7" s="5">
        <v>380000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B3036-93A9-4633-9A7A-60223107D8AC}">
  <dimension ref="A4:C24"/>
  <sheetViews>
    <sheetView workbookViewId="0">
      <selection activeCell="C12" sqref="A4:C24"/>
    </sheetView>
  </sheetViews>
  <sheetFormatPr defaultRowHeight="15" x14ac:dyDescent="0.25"/>
  <cols>
    <col min="1" max="1" width="23.7109375" bestFit="1" customWidth="1"/>
    <col min="2" max="2" width="25.42578125" bestFit="1" customWidth="1"/>
    <col min="3" max="3" width="23" bestFit="1" customWidth="1"/>
    <col min="4" max="4" width="20.28515625" bestFit="1" customWidth="1"/>
    <col min="5" max="5" width="12.85546875" bestFit="1" customWidth="1"/>
    <col min="6" max="6" width="15" bestFit="1" customWidth="1"/>
    <col min="7" max="7" width="15.5703125" bestFit="1" customWidth="1"/>
    <col min="8" max="14" width="12.42578125" bestFit="1" customWidth="1"/>
    <col min="15" max="15" width="11.5703125" bestFit="1" customWidth="1"/>
    <col min="16" max="16" width="12.42578125" bestFit="1" customWidth="1"/>
    <col min="17" max="17" width="11.5703125" bestFit="1" customWidth="1"/>
    <col min="18" max="18" width="12.28515625" bestFit="1" customWidth="1"/>
    <col min="19" max="19" width="12.42578125" bestFit="1" customWidth="1"/>
    <col min="20" max="21" width="12.28515625" bestFit="1" customWidth="1"/>
    <col min="22" max="26" width="11.42578125" bestFit="1" customWidth="1"/>
    <col min="27" max="27" width="10.85546875" bestFit="1" customWidth="1"/>
    <col min="28" max="28" width="11.42578125" bestFit="1" customWidth="1"/>
    <col min="29" max="29" width="10.85546875" bestFit="1" customWidth="1"/>
    <col min="30" max="32" width="11.85546875" bestFit="1" customWidth="1"/>
    <col min="33" max="33" width="12.42578125" bestFit="1" customWidth="1"/>
    <col min="34" max="35" width="11.7109375" bestFit="1" customWidth="1"/>
    <col min="36" max="36" width="12.42578125" bestFit="1" customWidth="1"/>
    <col min="37" max="37" width="11.7109375" bestFit="1" customWidth="1"/>
    <col min="38" max="38" width="11.42578125" bestFit="1" customWidth="1"/>
    <col min="39" max="39" width="12.42578125" bestFit="1" customWidth="1"/>
    <col min="40" max="41" width="11.42578125" bestFit="1" customWidth="1"/>
    <col min="42" max="42" width="12.42578125" bestFit="1" customWidth="1"/>
    <col min="43" max="45" width="12" bestFit="1" customWidth="1"/>
    <col min="46" max="48" width="11.7109375" bestFit="1" customWidth="1"/>
    <col min="49" max="50" width="11.28515625" bestFit="1" customWidth="1"/>
    <col min="51" max="51" width="11.42578125" bestFit="1" customWidth="1"/>
    <col min="52" max="52" width="11.28515625" bestFit="1" customWidth="1"/>
    <col min="53" max="53" width="12.42578125" bestFit="1" customWidth="1"/>
    <col min="54" max="55" width="11.7109375" bestFit="1" customWidth="1"/>
    <col min="56" max="56" width="12.42578125" bestFit="1" customWidth="1"/>
    <col min="57" max="57" width="11.7109375" bestFit="1" customWidth="1"/>
    <col min="58" max="58" width="12" bestFit="1" customWidth="1"/>
    <col min="59" max="59" width="12.42578125" bestFit="1" customWidth="1"/>
    <col min="60" max="61" width="12" bestFit="1" customWidth="1"/>
    <col min="62" max="62" width="12.42578125" bestFit="1" customWidth="1"/>
    <col min="63" max="65" width="11.5703125" bestFit="1" customWidth="1"/>
    <col min="66" max="69" width="12.28515625" bestFit="1" customWidth="1"/>
    <col min="70" max="72" width="11.42578125" bestFit="1" customWidth="1"/>
    <col min="73" max="73" width="12.42578125" bestFit="1" customWidth="1"/>
    <col min="74" max="74" width="11.42578125" bestFit="1" customWidth="1"/>
    <col min="75" max="75" width="10.85546875" bestFit="1" customWidth="1"/>
    <col min="76" max="76" width="12.42578125" bestFit="1" customWidth="1"/>
    <col min="77" max="77" width="10.85546875" bestFit="1" customWidth="1"/>
    <col min="78" max="78" width="11.85546875" bestFit="1" customWidth="1"/>
    <col min="79" max="79" width="12.42578125" bestFit="1" customWidth="1"/>
    <col min="80" max="81" width="11.7109375" bestFit="1" customWidth="1"/>
    <col min="82" max="82" width="12.42578125" bestFit="1" customWidth="1"/>
    <col min="83" max="85" width="11.7109375" bestFit="1" customWidth="1"/>
    <col min="86" max="88" width="11.42578125" bestFit="1" customWidth="1"/>
    <col min="89" max="91" width="12" bestFit="1" customWidth="1"/>
    <col min="92" max="92" width="12.42578125" bestFit="1" customWidth="1"/>
    <col min="93" max="94" width="11.7109375" bestFit="1" customWidth="1"/>
    <col min="95" max="95" width="12.42578125" bestFit="1" customWidth="1"/>
    <col min="96" max="96" width="11.7109375" bestFit="1" customWidth="1"/>
    <col min="97" max="97" width="11.28515625" bestFit="1" customWidth="1"/>
    <col min="98" max="98" width="12.42578125" bestFit="1" customWidth="1"/>
    <col min="99" max="100" width="11.28515625" bestFit="1" customWidth="1"/>
  </cols>
  <sheetData>
    <row r="4" spans="1:3" ht="19.5" x14ac:dyDescent="0.55000000000000004">
      <c r="A4" s="14" t="s">
        <v>154</v>
      </c>
      <c r="B4" s="4"/>
      <c r="C4" s="14" t="s">
        <v>138</v>
      </c>
    </row>
    <row r="5" spans="1:3" ht="19.5" x14ac:dyDescent="0.55000000000000004">
      <c r="A5" s="14" t="s">
        <v>170</v>
      </c>
      <c r="B5" s="14" t="s">
        <v>171</v>
      </c>
      <c r="C5" s="4" t="s">
        <v>145</v>
      </c>
    </row>
    <row r="6" spans="1:3" ht="19.5" x14ac:dyDescent="0.55000000000000004">
      <c r="A6" s="4" t="s">
        <v>167</v>
      </c>
      <c r="B6" s="4" t="s">
        <v>155</v>
      </c>
      <c r="C6" s="5">
        <v>450000</v>
      </c>
    </row>
    <row r="7" spans="1:3" ht="19.5" x14ac:dyDescent="0.55000000000000004">
      <c r="A7" s="4"/>
      <c r="B7" s="4" t="s">
        <v>156</v>
      </c>
      <c r="C7" s="5">
        <v>900000</v>
      </c>
    </row>
    <row r="8" spans="1:3" ht="19.5" x14ac:dyDescent="0.55000000000000004">
      <c r="A8" s="4"/>
      <c r="B8" s="4" t="s">
        <v>157</v>
      </c>
      <c r="C8" s="5">
        <v>1215000</v>
      </c>
    </row>
    <row r="9" spans="1:3" ht="19.5" x14ac:dyDescent="0.55000000000000004">
      <c r="A9" s="4"/>
      <c r="B9" s="4" t="s">
        <v>159</v>
      </c>
      <c r="C9" s="5">
        <v>900000</v>
      </c>
    </row>
    <row r="10" spans="1:3" ht="19.5" x14ac:dyDescent="0.55000000000000004">
      <c r="A10" s="4"/>
      <c r="B10" s="4" t="s">
        <v>160</v>
      </c>
      <c r="C10" s="5">
        <v>450000</v>
      </c>
    </row>
    <row r="11" spans="1:3" ht="19.5" x14ac:dyDescent="0.55000000000000004">
      <c r="A11" s="4"/>
      <c r="B11" s="4" t="s">
        <v>161</v>
      </c>
      <c r="C11" s="5">
        <v>450000</v>
      </c>
    </row>
    <row r="12" spans="1:3" ht="19.5" x14ac:dyDescent="0.55000000000000004">
      <c r="A12" s="4"/>
      <c r="B12" s="4" t="s">
        <v>162</v>
      </c>
      <c r="C12" s="5">
        <v>900000</v>
      </c>
    </row>
    <row r="13" spans="1:3" ht="19.5" x14ac:dyDescent="0.55000000000000004">
      <c r="A13" s="4"/>
      <c r="B13" s="4" t="s">
        <v>164</v>
      </c>
      <c r="C13" s="5">
        <v>450000</v>
      </c>
    </row>
    <row r="14" spans="1:3" ht="19.5" x14ac:dyDescent="0.55000000000000004">
      <c r="A14" s="4"/>
      <c r="B14" s="4" t="s">
        <v>165</v>
      </c>
      <c r="C14" s="5">
        <v>900000</v>
      </c>
    </row>
    <row r="15" spans="1:3" ht="19.5" x14ac:dyDescent="0.55000000000000004">
      <c r="A15" s="4"/>
      <c r="B15" s="4" t="s">
        <v>166</v>
      </c>
      <c r="C15" s="5">
        <v>450000</v>
      </c>
    </row>
    <row r="16" spans="1:3" ht="19.5" x14ac:dyDescent="0.55000000000000004">
      <c r="A16" s="4" t="s">
        <v>168</v>
      </c>
      <c r="B16" s="4" t="s">
        <v>155</v>
      </c>
      <c r="C16" s="5">
        <v>900000</v>
      </c>
    </row>
    <row r="17" spans="1:3" ht="19.5" x14ac:dyDescent="0.55000000000000004">
      <c r="A17" s="4"/>
      <c r="B17" s="4" t="s">
        <v>157</v>
      </c>
      <c r="C17" s="5">
        <v>900000</v>
      </c>
    </row>
    <row r="18" spans="1:3" ht="19.5" x14ac:dyDescent="0.55000000000000004">
      <c r="A18" s="4"/>
      <c r="B18" s="4" t="s">
        <v>158</v>
      </c>
      <c r="C18" s="5">
        <v>450000</v>
      </c>
    </row>
    <row r="19" spans="1:3" ht="19.5" x14ac:dyDescent="0.55000000000000004">
      <c r="A19" s="4"/>
      <c r="B19" s="4" t="s">
        <v>159</v>
      </c>
      <c r="C19" s="5">
        <v>450000</v>
      </c>
    </row>
    <row r="20" spans="1:3" ht="19.5" x14ac:dyDescent="0.55000000000000004">
      <c r="A20" s="4"/>
      <c r="B20" s="4" t="s">
        <v>160</v>
      </c>
      <c r="C20" s="5">
        <v>450000</v>
      </c>
    </row>
    <row r="21" spans="1:3" ht="19.5" x14ac:dyDescent="0.55000000000000004">
      <c r="A21" s="4"/>
      <c r="B21" s="4" t="s">
        <v>163</v>
      </c>
      <c r="C21" s="5">
        <v>1800000</v>
      </c>
    </row>
    <row r="22" spans="1:3" ht="19.5" x14ac:dyDescent="0.55000000000000004">
      <c r="A22" s="4"/>
      <c r="B22" s="4" t="s">
        <v>164</v>
      </c>
      <c r="C22" s="5">
        <v>900000</v>
      </c>
    </row>
    <row r="23" spans="1:3" ht="19.5" x14ac:dyDescent="0.55000000000000004">
      <c r="A23" s="4"/>
      <c r="B23" s="4" t="s">
        <v>165</v>
      </c>
      <c r="C23" s="5">
        <v>1215000</v>
      </c>
    </row>
    <row r="24" spans="1:3" ht="19.5" x14ac:dyDescent="0.55000000000000004">
      <c r="A24" s="4" t="s">
        <v>169</v>
      </c>
      <c r="B24" s="4" t="s">
        <v>155</v>
      </c>
      <c r="C24" s="5">
        <v>900000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59C87-59C9-4FC7-A087-98716675504C}">
  <dimension ref="A4:C13"/>
  <sheetViews>
    <sheetView tabSelected="1" workbookViewId="0">
      <selection activeCell="C15" sqref="C15"/>
    </sheetView>
  </sheetViews>
  <sheetFormatPr defaultRowHeight="15" x14ac:dyDescent="0.25"/>
  <cols>
    <col min="1" max="1" width="23.7109375" bestFit="1" customWidth="1"/>
    <col min="2" max="2" width="25.42578125" bestFit="1" customWidth="1"/>
    <col min="3" max="3" width="17" bestFit="1" customWidth="1"/>
    <col min="4" max="4" width="20.28515625" bestFit="1" customWidth="1"/>
    <col min="5" max="5" width="12.85546875" bestFit="1" customWidth="1"/>
    <col min="6" max="6" width="15" bestFit="1" customWidth="1"/>
    <col min="7" max="7" width="15.5703125" bestFit="1" customWidth="1"/>
    <col min="8" max="14" width="12.42578125" bestFit="1" customWidth="1"/>
    <col min="15" max="15" width="11.5703125" bestFit="1" customWidth="1"/>
    <col min="16" max="16" width="12.42578125" bestFit="1" customWidth="1"/>
    <col min="17" max="17" width="11.5703125" bestFit="1" customWidth="1"/>
    <col min="18" max="18" width="12.28515625" bestFit="1" customWidth="1"/>
    <col min="19" max="19" width="12.42578125" bestFit="1" customWidth="1"/>
    <col min="20" max="21" width="12.28515625" bestFit="1" customWidth="1"/>
    <col min="22" max="26" width="11.42578125" bestFit="1" customWidth="1"/>
    <col min="27" max="27" width="10.85546875" bestFit="1" customWidth="1"/>
    <col min="28" max="28" width="11.42578125" bestFit="1" customWidth="1"/>
    <col min="29" max="29" width="10.85546875" bestFit="1" customWidth="1"/>
    <col min="30" max="32" width="11.85546875" bestFit="1" customWidth="1"/>
    <col min="33" max="33" width="12.42578125" bestFit="1" customWidth="1"/>
    <col min="34" max="35" width="11.7109375" bestFit="1" customWidth="1"/>
    <col min="36" max="36" width="12.42578125" bestFit="1" customWidth="1"/>
    <col min="37" max="37" width="11.7109375" bestFit="1" customWidth="1"/>
    <col min="38" max="38" width="11.42578125" bestFit="1" customWidth="1"/>
    <col min="39" max="39" width="12.42578125" bestFit="1" customWidth="1"/>
    <col min="40" max="41" width="11.42578125" bestFit="1" customWidth="1"/>
    <col min="42" max="42" width="12.42578125" bestFit="1" customWidth="1"/>
    <col min="43" max="45" width="12" bestFit="1" customWidth="1"/>
    <col min="46" max="48" width="11.7109375" bestFit="1" customWidth="1"/>
    <col min="49" max="50" width="11.28515625" bestFit="1" customWidth="1"/>
    <col min="51" max="51" width="11.42578125" bestFit="1" customWidth="1"/>
    <col min="52" max="52" width="11.28515625" bestFit="1" customWidth="1"/>
    <col min="53" max="53" width="12.42578125" bestFit="1" customWidth="1"/>
    <col min="54" max="55" width="11.7109375" bestFit="1" customWidth="1"/>
    <col min="56" max="56" width="12.42578125" bestFit="1" customWidth="1"/>
    <col min="57" max="57" width="11.7109375" bestFit="1" customWidth="1"/>
    <col min="58" max="58" width="12" bestFit="1" customWidth="1"/>
    <col min="59" max="59" width="12.42578125" bestFit="1" customWidth="1"/>
    <col min="60" max="61" width="12" bestFit="1" customWidth="1"/>
    <col min="62" max="62" width="12.42578125" bestFit="1" customWidth="1"/>
    <col min="63" max="65" width="11.5703125" bestFit="1" customWidth="1"/>
    <col min="66" max="69" width="12.28515625" bestFit="1" customWidth="1"/>
    <col min="70" max="72" width="11.42578125" bestFit="1" customWidth="1"/>
    <col min="73" max="73" width="12.42578125" bestFit="1" customWidth="1"/>
    <col min="74" max="74" width="11.42578125" bestFit="1" customWidth="1"/>
    <col min="75" max="75" width="10.85546875" bestFit="1" customWidth="1"/>
    <col min="76" max="76" width="12.42578125" bestFit="1" customWidth="1"/>
    <col min="77" max="77" width="10.85546875" bestFit="1" customWidth="1"/>
    <col min="78" max="78" width="11.85546875" bestFit="1" customWidth="1"/>
    <col min="79" max="79" width="12.42578125" bestFit="1" customWidth="1"/>
    <col min="80" max="81" width="11.7109375" bestFit="1" customWidth="1"/>
    <col min="82" max="82" width="12.42578125" bestFit="1" customWidth="1"/>
    <col min="83" max="85" width="11.7109375" bestFit="1" customWidth="1"/>
    <col min="86" max="88" width="11.42578125" bestFit="1" customWidth="1"/>
    <col min="89" max="91" width="12" bestFit="1" customWidth="1"/>
    <col min="92" max="92" width="12.42578125" bestFit="1" customWidth="1"/>
    <col min="93" max="94" width="11.7109375" bestFit="1" customWidth="1"/>
    <col min="95" max="95" width="12.42578125" bestFit="1" customWidth="1"/>
    <col min="96" max="96" width="11.7109375" bestFit="1" customWidth="1"/>
    <col min="97" max="97" width="11.28515625" bestFit="1" customWidth="1"/>
    <col min="98" max="98" width="12.42578125" bestFit="1" customWidth="1"/>
    <col min="99" max="100" width="11.28515625" bestFit="1" customWidth="1"/>
  </cols>
  <sheetData>
    <row r="4" spans="1:3" ht="19.5" x14ac:dyDescent="0.55000000000000004">
      <c r="A4" s="14" t="s">
        <v>154</v>
      </c>
      <c r="B4" s="4"/>
      <c r="C4" s="14" t="s">
        <v>138</v>
      </c>
    </row>
    <row r="5" spans="1:3" ht="19.5" x14ac:dyDescent="0.55000000000000004">
      <c r="A5" s="14" t="s">
        <v>170</v>
      </c>
      <c r="B5" s="14" t="s">
        <v>171</v>
      </c>
      <c r="C5" s="4" t="s">
        <v>146</v>
      </c>
    </row>
    <row r="6" spans="1:3" ht="19.5" x14ac:dyDescent="0.55000000000000004">
      <c r="A6" s="4" t="s">
        <v>167</v>
      </c>
      <c r="B6" s="4" t="s">
        <v>155</v>
      </c>
      <c r="C6" s="5">
        <v>1890000</v>
      </c>
    </row>
    <row r="7" spans="1:3" ht="19.5" x14ac:dyDescent="0.55000000000000004">
      <c r="A7" s="4"/>
      <c r="B7" s="4" t="s">
        <v>156</v>
      </c>
      <c r="C7" s="5">
        <v>4200000</v>
      </c>
    </row>
    <row r="8" spans="1:3" ht="19.5" x14ac:dyDescent="0.55000000000000004">
      <c r="A8" s="4"/>
      <c r="B8" s="4" t="s">
        <v>157</v>
      </c>
      <c r="C8" s="5">
        <v>1890000</v>
      </c>
    </row>
    <row r="9" spans="1:3" ht="19.5" x14ac:dyDescent="0.55000000000000004">
      <c r="A9" s="4"/>
      <c r="B9" s="4" t="s">
        <v>159</v>
      </c>
      <c r="C9" s="5">
        <v>3780000</v>
      </c>
    </row>
    <row r="10" spans="1:3" ht="19.5" x14ac:dyDescent="0.55000000000000004">
      <c r="A10" s="4"/>
      <c r="B10" s="4" t="s">
        <v>160</v>
      </c>
      <c r="C10" s="5">
        <v>2100000</v>
      </c>
    </row>
    <row r="11" spans="1:3" ht="19.5" x14ac:dyDescent="0.55000000000000004">
      <c r="A11" s="4"/>
      <c r="B11" s="4" t="s">
        <v>161</v>
      </c>
      <c r="C11" s="5">
        <v>3780000</v>
      </c>
    </row>
    <row r="12" spans="1:3" ht="19.5" x14ac:dyDescent="0.55000000000000004">
      <c r="A12" s="4"/>
      <c r="B12" s="4" t="s">
        <v>162</v>
      </c>
      <c r="C12" s="5">
        <v>4200000</v>
      </c>
    </row>
    <row r="13" spans="1:3" ht="19.5" x14ac:dyDescent="0.55000000000000004">
      <c r="A13" s="4"/>
      <c r="B13" s="4" t="s">
        <v>163</v>
      </c>
      <c r="C13" s="5">
        <v>1890000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4D821-D6E8-4EF7-B859-1EB054CA19B3}">
  <dimension ref="A4:C13"/>
  <sheetViews>
    <sheetView topLeftCell="B1" workbookViewId="0">
      <selection activeCell="C12" sqref="A4:C13"/>
    </sheetView>
  </sheetViews>
  <sheetFormatPr defaultRowHeight="15" x14ac:dyDescent="0.25"/>
  <cols>
    <col min="1" max="1" width="23.7109375" bestFit="1" customWidth="1"/>
    <col min="2" max="2" width="25.42578125" bestFit="1" customWidth="1"/>
    <col min="3" max="3" width="17" bestFit="1" customWidth="1"/>
    <col min="4" max="4" width="20.28515625" bestFit="1" customWidth="1"/>
    <col min="5" max="5" width="12.85546875" bestFit="1" customWidth="1"/>
    <col min="6" max="6" width="15" bestFit="1" customWidth="1"/>
    <col min="7" max="7" width="15.5703125" bestFit="1" customWidth="1"/>
    <col min="8" max="14" width="12.42578125" bestFit="1" customWidth="1"/>
    <col min="15" max="15" width="11.5703125" bestFit="1" customWidth="1"/>
    <col min="16" max="16" width="12.42578125" bestFit="1" customWidth="1"/>
    <col min="17" max="17" width="11.5703125" bestFit="1" customWidth="1"/>
    <col min="18" max="18" width="12.28515625" bestFit="1" customWidth="1"/>
    <col min="19" max="19" width="12.42578125" bestFit="1" customWidth="1"/>
    <col min="20" max="21" width="12.28515625" bestFit="1" customWidth="1"/>
    <col min="22" max="26" width="11.42578125" bestFit="1" customWidth="1"/>
    <col min="27" max="27" width="10.85546875" bestFit="1" customWidth="1"/>
    <col min="28" max="28" width="11.42578125" bestFit="1" customWidth="1"/>
    <col min="29" max="29" width="10.85546875" bestFit="1" customWidth="1"/>
    <col min="30" max="32" width="11.85546875" bestFit="1" customWidth="1"/>
    <col min="33" max="33" width="12.42578125" bestFit="1" customWidth="1"/>
    <col min="34" max="35" width="11.7109375" bestFit="1" customWidth="1"/>
    <col min="36" max="36" width="12.42578125" bestFit="1" customWidth="1"/>
    <col min="37" max="37" width="11.7109375" bestFit="1" customWidth="1"/>
    <col min="38" max="38" width="11.42578125" bestFit="1" customWidth="1"/>
    <col min="39" max="39" width="12.42578125" bestFit="1" customWidth="1"/>
    <col min="40" max="41" width="11.42578125" bestFit="1" customWidth="1"/>
    <col min="42" max="42" width="12.42578125" bestFit="1" customWidth="1"/>
    <col min="43" max="45" width="12" bestFit="1" customWidth="1"/>
    <col min="46" max="48" width="11.7109375" bestFit="1" customWidth="1"/>
    <col min="49" max="50" width="11.28515625" bestFit="1" customWidth="1"/>
    <col min="51" max="51" width="11.42578125" bestFit="1" customWidth="1"/>
    <col min="52" max="52" width="11.28515625" bestFit="1" customWidth="1"/>
    <col min="53" max="53" width="12.42578125" bestFit="1" customWidth="1"/>
    <col min="54" max="55" width="11.7109375" bestFit="1" customWidth="1"/>
    <col min="56" max="56" width="12.42578125" bestFit="1" customWidth="1"/>
    <col min="57" max="57" width="11.7109375" bestFit="1" customWidth="1"/>
    <col min="58" max="58" width="12" bestFit="1" customWidth="1"/>
    <col min="59" max="59" width="12.42578125" bestFit="1" customWidth="1"/>
    <col min="60" max="61" width="12" bestFit="1" customWidth="1"/>
    <col min="62" max="62" width="12.42578125" bestFit="1" customWidth="1"/>
    <col min="63" max="65" width="11.5703125" bestFit="1" customWidth="1"/>
    <col min="66" max="69" width="12.28515625" bestFit="1" customWidth="1"/>
    <col min="70" max="72" width="11.42578125" bestFit="1" customWidth="1"/>
    <col min="73" max="73" width="12.42578125" bestFit="1" customWidth="1"/>
    <col min="74" max="74" width="11.42578125" bestFit="1" customWidth="1"/>
    <col min="75" max="75" width="10.85546875" bestFit="1" customWidth="1"/>
    <col min="76" max="76" width="12.42578125" bestFit="1" customWidth="1"/>
    <col min="77" max="77" width="10.85546875" bestFit="1" customWidth="1"/>
    <col min="78" max="78" width="11.85546875" bestFit="1" customWidth="1"/>
    <col min="79" max="79" width="12.42578125" bestFit="1" customWidth="1"/>
    <col min="80" max="81" width="11.7109375" bestFit="1" customWidth="1"/>
    <col min="82" max="82" width="12.42578125" bestFit="1" customWidth="1"/>
    <col min="83" max="85" width="11.7109375" bestFit="1" customWidth="1"/>
    <col min="86" max="88" width="11.42578125" bestFit="1" customWidth="1"/>
    <col min="89" max="91" width="12" bestFit="1" customWidth="1"/>
    <col min="92" max="92" width="12.42578125" bestFit="1" customWidth="1"/>
    <col min="93" max="94" width="11.7109375" bestFit="1" customWidth="1"/>
    <col min="95" max="95" width="12.42578125" bestFit="1" customWidth="1"/>
    <col min="96" max="96" width="11.7109375" bestFit="1" customWidth="1"/>
    <col min="97" max="97" width="11.28515625" bestFit="1" customWidth="1"/>
    <col min="98" max="98" width="12.42578125" bestFit="1" customWidth="1"/>
    <col min="99" max="100" width="11.28515625" bestFit="1" customWidth="1"/>
  </cols>
  <sheetData>
    <row r="4" spans="1:3" ht="19.5" x14ac:dyDescent="0.55000000000000004">
      <c r="A4" s="14" t="s">
        <v>154</v>
      </c>
      <c r="B4" s="4"/>
      <c r="C4" s="14" t="s">
        <v>138</v>
      </c>
    </row>
    <row r="5" spans="1:3" ht="19.5" x14ac:dyDescent="0.55000000000000004">
      <c r="A5" s="14" t="s">
        <v>170</v>
      </c>
      <c r="B5" s="14" t="s">
        <v>171</v>
      </c>
      <c r="C5" s="4" t="s">
        <v>141</v>
      </c>
    </row>
    <row r="6" spans="1:3" ht="19.5" x14ac:dyDescent="0.55000000000000004">
      <c r="A6" s="4" t="s">
        <v>167</v>
      </c>
      <c r="B6" s="4" t="s">
        <v>157</v>
      </c>
      <c r="C6" s="5">
        <v>11250000</v>
      </c>
    </row>
    <row r="7" spans="1:3" ht="19.5" x14ac:dyDescent="0.55000000000000004">
      <c r="A7" s="4"/>
      <c r="B7" s="4" t="s">
        <v>158</v>
      </c>
      <c r="C7" s="5">
        <v>25000000</v>
      </c>
    </row>
    <row r="8" spans="1:3" ht="19.5" x14ac:dyDescent="0.55000000000000004">
      <c r="A8" s="4"/>
      <c r="B8" s="4" t="s">
        <v>159</v>
      </c>
      <c r="C8" s="5">
        <v>22500000</v>
      </c>
    </row>
    <row r="9" spans="1:3" ht="19.5" x14ac:dyDescent="0.55000000000000004">
      <c r="A9" s="4"/>
      <c r="B9" s="4" t="s">
        <v>162</v>
      </c>
      <c r="C9" s="5">
        <v>25000000</v>
      </c>
    </row>
    <row r="10" spans="1:3" ht="19.5" x14ac:dyDescent="0.55000000000000004">
      <c r="A10" s="4"/>
      <c r="B10" s="4" t="s">
        <v>163</v>
      </c>
      <c r="C10" s="5">
        <v>11250000</v>
      </c>
    </row>
    <row r="11" spans="1:3" ht="19.5" x14ac:dyDescent="0.55000000000000004">
      <c r="A11" s="4"/>
      <c r="B11" s="4" t="s">
        <v>164</v>
      </c>
      <c r="C11" s="5">
        <v>12500000</v>
      </c>
    </row>
    <row r="12" spans="1:3" ht="19.5" x14ac:dyDescent="0.55000000000000004">
      <c r="A12" s="4"/>
      <c r="B12" s="4" t="s">
        <v>165</v>
      </c>
      <c r="C12" s="5">
        <v>11250000</v>
      </c>
    </row>
    <row r="13" spans="1:3" ht="19.5" x14ac:dyDescent="0.55000000000000004">
      <c r="A13" s="4" t="s">
        <v>168</v>
      </c>
      <c r="B13" s="4" t="s">
        <v>155</v>
      </c>
      <c r="C13" s="5">
        <v>11250000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BDC75-62A9-445C-8812-46387C708B31}">
  <dimension ref="A4:C13"/>
  <sheetViews>
    <sheetView topLeftCell="D1" workbookViewId="0">
      <selection activeCell="C6" sqref="A4:C13"/>
    </sheetView>
  </sheetViews>
  <sheetFormatPr defaultRowHeight="15" x14ac:dyDescent="0.25"/>
  <cols>
    <col min="1" max="1" width="23.7109375" bestFit="1" customWidth="1"/>
    <col min="2" max="2" width="25.42578125" bestFit="1" customWidth="1"/>
    <col min="3" max="3" width="17" bestFit="1" customWidth="1"/>
    <col min="4" max="4" width="20.28515625" bestFit="1" customWidth="1"/>
    <col min="5" max="5" width="12.85546875" bestFit="1" customWidth="1"/>
    <col min="6" max="6" width="15" bestFit="1" customWidth="1"/>
    <col min="7" max="7" width="15.5703125" bestFit="1" customWidth="1"/>
    <col min="8" max="14" width="12.42578125" bestFit="1" customWidth="1"/>
    <col min="15" max="15" width="11.5703125" bestFit="1" customWidth="1"/>
    <col min="16" max="16" width="12.42578125" bestFit="1" customWidth="1"/>
    <col min="17" max="17" width="11.5703125" bestFit="1" customWidth="1"/>
    <col min="18" max="18" width="12.28515625" bestFit="1" customWidth="1"/>
    <col min="19" max="19" width="12.42578125" bestFit="1" customWidth="1"/>
    <col min="20" max="21" width="12.28515625" bestFit="1" customWidth="1"/>
    <col min="22" max="26" width="11.42578125" bestFit="1" customWidth="1"/>
    <col min="27" max="27" width="10.85546875" bestFit="1" customWidth="1"/>
    <col min="28" max="28" width="11.42578125" bestFit="1" customWidth="1"/>
    <col min="29" max="29" width="10.85546875" bestFit="1" customWidth="1"/>
    <col min="30" max="32" width="11.85546875" bestFit="1" customWidth="1"/>
    <col min="33" max="33" width="12.42578125" bestFit="1" customWidth="1"/>
    <col min="34" max="35" width="11.7109375" bestFit="1" customWidth="1"/>
    <col min="36" max="36" width="12.42578125" bestFit="1" customWidth="1"/>
    <col min="37" max="37" width="11.7109375" bestFit="1" customWidth="1"/>
    <col min="38" max="38" width="11.42578125" bestFit="1" customWidth="1"/>
    <col min="39" max="39" width="12.42578125" bestFit="1" customWidth="1"/>
    <col min="40" max="41" width="11.42578125" bestFit="1" customWidth="1"/>
    <col min="42" max="42" width="12.42578125" bestFit="1" customWidth="1"/>
    <col min="43" max="45" width="12" bestFit="1" customWidth="1"/>
    <col min="46" max="48" width="11.7109375" bestFit="1" customWidth="1"/>
    <col min="49" max="50" width="11.28515625" bestFit="1" customWidth="1"/>
    <col min="51" max="51" width="11.42578125" bestFit="1" customWidth="1"/>
    <col min="52" max="52" width="11.28515625" bestFit="1" customWidth="1"/>
    <col min="53" max="53" width="12.42578125" bestFit="1" customWidth="1"/>
    <col min="54" max="55" width="11.7109375" bestFit="1" customWidth="1"/>
    <col min="56" max="56" width="12.42578125" bestFit="1" customWidth="1"/>
    <col min="57" max="57" width="11.7109375" bestFit="1" customWidth="1"/>
    <col min="58" max="58" width="12" bestFit="1" customWidth="1"/>
    <col min="59" max="59" width="12.42578125" bestFit="1" customWidth="1"/>
    <col min="60" max="61" width="12" bestFit="1" customWidth="1"/>
    <col min="62" max="62" width="12.42578125" bestFit="1" customWidth="1"/>
    <col min="63" max="65" width="11.5703125" bestFit="1" customWidth="1"/>
    <col min="66" max="69" width="12.28515625" bestFit="1" customWidth="1"/>
    <col min="70" max="72" width="11.42578125" bestFit="1" customWidth="1"/>
    <col min="73" max="73" width="12.42578125" bestFit="1" customWidth="1"/>
    <col min="74" max="74" width="11.42578125" bestFit="1" customWidth="1"/>
    <col min="75" max="75" width="10.85546875" bestFit="1" customWidth="1"/>
    <col min="76" max="76" width="12.42578125" bestFit="1" customWidth="1"/>
    <col min="77" max="77" width="10.85546875" bestFit="1" customWidth="1"/>
    <col min="78" max="78" width="11.85546875" bestFit="1" customWidth="1"/>
    <col min="79" max="79" width="12.42578125" bestFit="1" customWidth="1"/>
    <col min="80" max="81" width="11.7109375" bestFit="1" customWidth="1"/>
    <col min="82" max="82" width="12.42578125" bestFit="1" customWidth="1"/>
    <col min="83" max="85" width="11.7109375" bestFit="1" customWidth="1"/>
    <col min="86" max="88" width="11.42578125" bestFit="1" customWidth="1"/>
    <col min="89" max="91" width="12" bestFit="1" customWidth="1"/>
    <col min="92" max="92" width="12.42578125" bestFit="1" customWidth="1"/>
    <col min="93" max="94" width="11.7109375" bestFit="1" customWidth="1"/>
    <col min="95" max="95" width="12.42578125" bestFit="1" customWidth="1"/>
    <col min="96" max="96" width="11.7109375" bestFit="1" customWidth="1"/>
    <col min="97" max="97" width="11.28515625" bestFit="1" customWidth="1"/>
    <col min="98" max="98" width="12.42578125" bestFit="1" customWidth="1"/>
    <col min="99" max="100" width="11.28515625" bestFit="1" customWidth="1"/>
  </cols>
  <sheetData>
    <row r="4" spans="1:3" ht="19.5" x14ac:dyDescent="0.55000000000000004">
      <c r="A4" s="14" t="s">
        <v>154</v>
      </c>
      <c r="B4" s="4"/>
      <c r="C4" s="14" t="s">
        <v>138</v>
      </c>
    </row>
    <row r="5" spans="1:3" ht="19.5" x14ac:dyDescent="0.55000000000000004">
      <c r="A5" s="14" t="s">
        <v>170</v>
      </c>
      <c r="B5" s="14" t="s">
        <v>171</v>
      </c>
      <c r="C5" s="4" t="s">
        <v>143</v>
      </c>
    </row>
    <row r="6" spans="1:3" ht="19.5" x14ac:dyDescent="0.55000000000000004">
      <c r="A6" s="4" t="s">
        <v>167</v>
      </c>
      <c r="B6" s="4" t="s">
        <v>155</v>
      </c>
      <c r="C6" s="5">
        <v>150000</v>
      </c>
    </row>
    <row r="7" spans="1:3" ht="19.5" x14ac:dyDescent="0.55000000000000004">
      <c r="A7" s="4"/>
      <c r="B7" s="4" t="s">
        <v>156</v>
      </c>
      <c r="C7" s="5">
        <v>150000</v>
      </c>
    </row>
    <row r="8" spans="1:3" ht="19.5" x14ac:dyDescent="0.55000000000000004">
      <c r="A8" s="4"/>
      <c r="B8" s="4" t="s">
        <v>158</v>
      </c>
      <c r="C8" s="5">
        <v>450000</v>
      </c>
    </row>
    <row r="9" spans="1:3" ht="19.5" x14ac:dyDescent="0.55000000000000004">
      <c r="A9" s="4"/>
      <c r="B9" s="4" t="s">
        <v>159</v>
      </c>
      <c r="C9" s="5">
        <v>450000</v>
      </c>
    </row>
    <row r="10" spans="1:3" ht="19.5" x14ac:dyDescent="0.55000000000000004">
      <c r="A10" s="4"/>
      <c r="B10" s="4" t="s">
        <v>160</v>
      </c>
      <c r="C10" s="5">
        <v>450000</v>
      </c>
    </row>
    <row r="11" spans="1:3" ht="19.5" x14ac:dyDescent="0.55000000000000004">
      <c r="A11" s="4"/>
      <c r="B11" s="4" t="s">
        <v>161</v>
      </c>
      <c r="C11" s="5">
        <v>1350000</v>
      </c>
    </row>
    <row r="12" spans="1:3" ht="19.5" x14ac:dyDescent="0.55000000000000004">
      <c r="A12" s="4"/>
      <c r="B12" s="4" t="s">
        <v>163</v>
      </c>
      <c r="C12" s="5">
        <v>750000</v>
      </c>
    </row>
    <row r="13" spans="1:3" ht="19.5" x14ac:dyDescent="0.55000000000000004">
      <c r="A13" s="4"/>
      <c r="B13" s="4" t="s">
        <v>164</v>
      </c>
      <c r="C13" s="5">
        <v>600000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00634-A21C-47D6-ADAE-DC62851CDC72}">
  <dimension ref="A4:B6"/>
  <sheetViews>
    <sheetView workbookViewId="0">
      <selection activeCell="B6" sqref="A4:B6"/>
    </sheetView>
  </sheetViews>
  <sheetFormatPr defaultRowHeight="15" x14ac:dyDescent="0.25"/>
  <cols>
    <col min="1" max="1" width="11.85546875" bestFit="1" customWidth="1"/>
    <col min="2" max="2" width="19.85546875" bestFit="1" customWidth="1"/>
    <col min="3" max="3" width="15.5703125" bestFit="1" customWidth="1"/>
    <col min="4" max="4" width="20.28515625" bestFit="1" customWidth="1"/>
    <col min="5" max="5" width="12.85546875" bestFit="1" customWidth="1"/>
    <col min="6" max="6" width="15" bestFit="1" customWidth="1"/>
    <col min="7" max="7" width="15.5703125" bestFit="1" customWidth="1"/>
    <col min="8" max="14" width="12.42578125" bestFit="1" customWidth="1"/>
    <col min="15" max="15" width="11.5703125" bestFit="1" customWidth="1"/>
    <col min="16" max="16" width="12.42578125" bestFit="1" customWidth="1"/>
    <col min="17" max="17" width="11.5703125" bestFit="1" customWidth="1"/>
    <col min="18" max="18" width="12.28515625" bestFit="1" customWidth="1"/>
    <col min="19" max="19" width="12.42578125" bestFit="1" customWidth="1"/>
    <col min="20" max="21" width="12.28515625" bestFit="1" customWidth="1"/>
    <col min="22" max="26" width="11.42578125" bestFit="1" customWidth="1"/>
    <col min="27" max="27" width="10.85546875" bestFit="1" customWidth="1"/>
    <col min="28" max="28" width="11.42578125" bestFit="1" customWidth="1"/>
    <col min="29" max="29" width="10.85546875" bestFit="1" customWidth="1"/>
    <col min="30" max="32" width="11.85546875" bestFit="1" customWidth="1"/>
    <col min="33" max="33" width="12.42578125" bestFit="1" customWidth="1"/>
    <col min="34" max="35" width="11.7109375" bestFit="1" customWidth="1"/>
    <col min="36" max="36" width="12.42578125" bestFit="1" customWidth="1"/>
    <col min="37" max="37" width="11.7109375" bestFit="1" customWidth="1"/>
    <col min="38" max="38" width="11.42578125" bestFit="1" customWidth="1"/>
    <col min="39" max="39" width="12.42578125" bestFit="1" customWidth="1"/>
    <col min="40" max="41" width="11.42578125" bestFit="1" customWidth="1"/>
    <col min="42" max="42" width="12.42578125" bestFit="1" customWidth="1"/>
    <col min="43" max="45" width="12" bestFit="1" customWidth="1"/>
    <col min="46" max="48" width="11.7109375" bestFit="1" customWidth="1"/>
    <col min="49" max="50" width="11.28515625" bestFit="1" customWidth="1"/>
    <col min="51" max="51" width="11.42578125" bestFit="1" customWidth="1"/>
    <col min="52" max="52" width="11.28515625" bestFit="1" customWidth="1"/>
    <col min="53" max="53" width="12.42578125" bestFit="1" customWidth="1"/>
    <col min="54" max="55" width="11.7109375" bestFit="1" customWidth="1"/>
    <col min="56" max="56" width="12.42578125" bestFit="1" customWidth="1"/>
    <col min="57" max="57" width="11.7109375" bestFit="1" customWidth="1"/>
    <col min="58" max="58" width="12" bestFit="1" customWidth="1"/>
    <col min="59" max="59" width="12.42578125" bestFit="1" customWidth="1"/>
    <col min="60" max="61" width="12" bestFit="1" customWidth="1"/>
    <col min="62" max="62" width="12.42578125" bestFit="1" customWidth="1"/>
    <col min="63" max="65" width="11.5703125" bestFit="1" customWidth="1"/>
    <col min="66" max="69" width="12.28515625" bestFit="1" customWidth="1"/>
    <col min="70" max="72" width="11.42578125" bestFit="1" customWidth="1"/>
    <col min="73" max="73" width="12.42578125" bestFit="1" customWidth="1"/>
    <col min="74" max="74" width="11.42578125" bestFit="1" customWidth="1"/>
    <col min="75" max="75" width="10.85546875" bestFit="1" customWidth="1"/>
    <col min="76" max="76" width="12.42578125" bestFit="1" customWidth="1"/>
    <col min="77" max="77" width="10.85546875" bestFit="1" customWidth="1"/>
    <col min="78" max="78" width="11.85546875" bestFit="1" customWidth="1"/>
    <col min="79" max="79" width="12.42578125" bestFit="1" customWidth="1"/>
    <col min="80" max="81" width="11.7109375" bestFit="1" customWidth="1"/>
    <col min="82" max="82" width="12.42578125" bestFit="1" customWidth="1"/>
    <col min="83" max="85" width="11.7109375" bestFit="1" customWidth="1"/>
    <col min="86" max="88" width="11.42578125" bestFit="1" customWidth="1"/>
    <col min="89" max="91" width="12" bestFit="1" customWidth="1"/>
    <col min="92" max="92" width="12.42578125" bestFit="1" customWidth="1"/>
    <col min="93" max="94" width="11.7109375" bestFit="1" customWidth="1"/>
    <col min="95" max="95" width="12.42578125" bestFit="1" customWidth="1"/>
    <col min="96" max="96" width="11.7109375" bestFit="1" customWidth="1"/>
    <col min="97" max="97" width="11.28515625" bestFit="1" customWidth="1"/>
    <col min="98" max="98" width="12.42578125" bestFit="1" customWidth="1"/>
    <col min="99" max="100" width="11.28515625" bestFit="1" customWidth="1"/>
  </cols>
  <sheetData>
    <row r="4" spans="1:2" ht="19.5" x14ac:dyDescent="0.55000000000000004">
      <c r="A4" s="14" t="s">
        <v>140</v>
      </c>
      <c r="B4" s="4" t="s">
        <v>154</v>
      </c>
    </row>
    <row r="5" spans="1:2" ht="19.5" x14ac:dyDescent="0.55000000000000004">
      <c r="A5" s="4" t="s">
        <v>144</v>
      </c>
      <c r="B5" s="5">
        <v>35060000</v>
      </c>
    </row>
    <row r="6" spans="1:2" ht="19.5" x14ac:dyDescent="0.55000000000000004">
      <c r="A6" s="4" t="s">
        <v>142</v>
      </c>
      <c r="B6" s="5">
        <v>345500000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3263D-AE49-4F86-B1E0-8D0187B631D6}">
  <dimension ref="A4:B9"/>
  <sheetViews>
    <sheetView topLeftCell="A2" workbookViewId="0">
      <selection activeCell="B7" sqref="A4:B9"/>
    </sheetView>
  </sheetViews>
  <sheetFormatPr defaultRowHeight="15" x14ac:dyDescent="0.25"/>
  <cols>
    <col min="1" max="1" width="15" bestFit="1" customWidth="1"/>
    <col min="2" max="2" width="19.85546875" bestFit="1" customWidth="1"/>
    <col min="3" max="3" width="15.5703125" bestFit="1" customWidth="1"/>
    <col min="4" max="4" width="20.28515625" bestFit="1" customWidth="1"/>
    <col min="5" max="5" width="12.85546875" bestFit="1" customWidth="1"/>
    <col min="6" max="6" width="15" bestFit="1" customWidth="1"/>
    <col min="7" max="7" width="15.5703125" bestFit="1" customWidth="1"/>
    <col min="8" max="14" width="12.42578125" bestFit="1" customWidth="1"/>
    <col min="15" max="15" width="11.5703125" bestFit="1" customWidth="1"/>
    <col min="16" max="16" width="12.42578125" bestFit="1" customWidth="1"/>
    <col min="17" max="17" width="11.5703125" bestFit="1" customWidth="1"/>
    <col min="18" max="18" width="12.28515625" bestFit="1" customWidth="1"/>
    <col min="19" max="19" width="12.42578125" bestFit="1" customWidth="1"/>
    <col min="20" max="21" width="12.28515625" bestFit="1" customWidth="1"/>
    <col min="22" max="26" width="11.42578125" bestFit="1" customWidth="1"/>
    <col min="27" max="27" width="10.85546875" bestFit="1" customWidth="1"/>
    <col min="28" max="28" width="11.42578125" bestFit="1" customWidth="1"/>
    <col min="29" max="29" width="10.85546875" bestFit="1" customWidth="1"/>
    <col min="30" max="32" width="11.85546875" bestFit="1" customWidth="1"/>
    <col min="33" max="33" width="12.42578125" bestFit="1" customWidth="1"/>
    <col min="34" max="35" width="11.7109375" bestFit="1" customWidth="1"/>
    <col min="36" max="36" width="12.42578125" bestFit="1" customWidth="1"/>
    <col min="37" max="37" width="11.7109375" bestFit="1" customWidth="1"/>
    <col min="38" max="38" width="11.42578125" bestFit="1" customWidth="1"/>
    <col min="39" max="39" width="12.42578125" bestFit="1" customWidth="1"/>
    <col min="40" max="41" width="11.42578125" bestFit="1" customWidth="1"/>
    <col min="42" max="42" width="12.42578125" bestFit="1" customWidth="1"/>
    <col min="43" max="45" width="12" bestFit="1" customWidth="1"/>
    <col min="46" max="48" width="11.7109375" bestFit="1" customWidth="1"/>
    <col min="49" max="50" width="11.28515625" bestFit="1" customWidth="1"/>
    <col min="51" max="51" width="11.42578125" bestFit="1" customWidth="1"/>
    <col min="52" max="52" width="11.28515625" bestFit="1" customWidth="1"/>
    <col min="53" max="53" width="12.42578125" bestFit="1" customWidth="1"/>
    <col min="54" max="55" width="11.7109375" bestFit="1" customWidth="1"/>
    <col min="56" max="56" width="12.42578125" bestFit="1" customWidth="1"/>
    <col min="57" max="57" width="11.7109375" bestFit="1" customWidth="1"/>
    <col min="58" max="58" width="12" bestFit="1" customWidth="1"/>
    <col min="59" max="59" width="12.42578125" bestFit="1" customWidth="1"/>
    <col min="60" max="61" width="12" bestFit="1" customWidth="1"/>
    <col min="62" max="62" width="12.42578125" bestFit="1" customWidth="1"/>
    <col min="63" max="65" width="11.5703125" bestFit="1" customWidth="1"/>
    <col min="66" max="69" width="12.28515625" bestFit="1" customWidth="1"/>
    <col min="70" max="72" width="11.42578125" bestFit="1" customWidth="1"/>
    <col min="73" max="73" width="12.42578125" bestFit="1" customWidth="1"/>
    <col min="74" max="74" width="11.42578125" bestFit="1" customWidth="1"/>
    <col min="75" max="75" width="10.85546875" bestFit="1" customWidth="1"/>
    <col min="76" max="76" width="12.42578125" bestFit="1" customWidth="1"/>
    <col min="77" max="77" width="10.85546875" bestFit="1" customWidth="1"/>
    <col min="78" max="78" width="11.85546875" bestFit="1" customWidth="1"/>
    <col min="79" max="79" width="12.42578125" bestFit="1" customWidth="1"/>
    <col min="80" max="81" width="11.7109375" bestFit="1" customWidth="1"/>
    <col min="82" max="82" width="12.42578125" bestFit="1" customWidth="1"/>
    <col min="83" max="85" width="11.7109375" bestFit="1" customWidth="1"/>
    <col min="86" max="88" width="11.42578125" bestFit="1" customWidth="1"/>
    <col min="89" max="91" width="12" bestFit="1" customWidth="1"/>
    <col min="92" max="92" width="12.42578125" bestFit="1" customWidth="1"/>
    <col min="93" max="94" width="11.7109375" bestFit="1" customWidth="1"/>
    <col min="95" max="95" width="12.42578125" bestFit="1" customWidth="1"/>
    <col min="96" max="96" width="11.7109375" bestFit="1" customWidth="1"/>
    <col min="97" max="97" width="11.28515625" bestFit="1" customWidth="1"/>
    <col min="98" max="98" width="12.42578125" bestFit="1" customWidth="1"/>
    <col min="99" max="100" width="11.28515625" bestFit="1" customWidth="1"/>
  </cols>
  <sheetData>
    <row r="4" spans="1:2" ht="19.5" x14ac:dyDescent="0.55000000000000004">
      <c r="A4" s="14" t="s">
        <v>1</v>
      </c>
      <c r="B4" s="4" t="s">
        <v>154</v>
      </c>
    </row>
    <row r="5" spans="1:2" ht="19.5" x14ac:dyDescent="0.55000000000000004">
      <c r="A5" s="4" t="s">
        <v>172</v>
      </c>
      <c r="B5" s="5">
        <v>24990000</v>
      </c>
    </row>
    <row r="6" spans="1:2" ht="19.5" x14ac:dyDescent="0.55000000000000004">
      <c r="A6" s="4" t="s">
        <v>173</v>
      </c>
      <c r="B6" s="5">
        <v>25830000</v>
      </c>
    </row>
    <row r="7" spans="1:2" ht="19.5" x14ac:dyDescent="0.55000000000000004">
      <c r="A7" s="4" t="s">
        <v>20</v>
      </c>
      <c r="B7" s="5">
        <v>27630000</v>
      </c>
    </row>
    <row r="8" spans="1:2" ht="19.5" x14ac:dyDescent="0.55000000000000004">
      <c r="A8" s="4" t="s">
        <v>174</v>
      </c>
      <c r="B8" s="5">
        <v>30575000</v>
      </c>
    </row>
    <row r="9" spans="1:2" ht="19.5" x14ac:dyDescent="0.55000000000000004">
      <c r="A9" s="4" t="s">
        <v>175</v>
      </c>
      <c r="B9" s="5">
        <v>24950000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 Mentah</vt:lpstr>
      <vt:lpstr>Tabel Referensi</vt:lpstr>
      <vt:lpstr>Penjualan</vt:lpstr>
      <vt:lpstr>TotalSalesFlashdisk</vt:lpstr>
      <vt:lpstr>TotalSalesKeyboard</vt:lpstr>
      <vt:lpstr>TotalSalesMonitor</vt:lpstr>
      <vt:lpstr>TotalSalesLaptopPro</vt:lpstr>
      <vt:lpstr>TotalSalesMouse</vt:lpstr>
      <vt:lpstr>CategorySales</vt:lpstr>
      <vt:lpstr>Top5Sales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Aldy Ngere</dc:creator>
  <cp:lastModifiedBy>Aldy Ngere</cp:lastModifiedBy>
  <dcterms:created xsi:type="dcterms:W3CDTF">2026-09-03T18:37:01Z</dcterms:created>
  <dcterms:modified xsi:type="dcterms:W3CDTF">2026-09-06T10:03:37Z</dcterms:modified>
</cp:coreProperties>
</file>